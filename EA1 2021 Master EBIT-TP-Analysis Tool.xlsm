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P:\_Departments\FC\05 - Accounting\01 Financial Accounting\04 Transfer Pricing\01 Vehicle\Profit Analysis\EBIT and TP Analysis\EA1 2021\"/>
    </mc:Choice>
  </mc:AlternateContent>
  <bookViews>
    <workbookView xWindow="0" yWindow="0" windowWidth="23040" windowHeight="9192" activeTab="2"/>
  </bookViews>
  <sheets>
    <sheet name="Instructions" sheetId="39" r:id="rId1"/>
    <sheet name="Dashboard" sheetId="1" r:id="rId2"/>
    <sheet name="Profit Analysis" sheetId="35" r:id="rId3"/>
    <sheet name="Signature" sheetId="34" r:id="rId4"/>
  </sheets>
  <externalReferences>
    <externalReference r:id="rId5"/>
    <externalReference r:id="rId6"/>
    <externalReference r:id="rId7"/>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s>
  <definedNames>
    <definedName name="\A">#REF!</definedName>
    <definedName name="\b">'[1]Timed Plan'!#REF!</definedName>
    <definedName name="\c">'[1]Timed Plan'!#REF!</definedName>
    <definedName name="\d">'[1]Timed Plan'!#REF!</definedName>
    <definedName name="\D__">#REF!</definedName>
    <definedName name="\e">#REF!</definedName>
    <definedName name="\m">#REF!</definedName>
    <definedName name="\P">[2]Total!#REF!</definedName>
    <definedName name="\q">'[1]Timed Plan'!#REF!</definedName>
    <definedName name="\r">#REF!</definedName>
    <definedName name="\s">'[1]Timed Plan'!#REF!</definedName>
    <definedName name="\t">#REF!</definedName>
    <definedName name="\w">'[1]Timed Plan'!#REF!</definedName>
    <definedName name="\x">'[1]Timed Plan'!#REF!</definedName>
    <definedName name="\z">'[1]Timed Plan'!#REF!</definedName>
    <definedName name="_?__DOWN_">#REF!</definedName>
    <definedName name="____adr01">#REF!</definedName>
    <definedName name="____adr02">#REF!</definedName>
    <definedName name="____adr03">#REF!</definedName>
    <definedName name="____adr04">#REF!</definedName>
    <definedName name="____DAT1">#REF!</definedName>
    <definedName name="____DAT10">#REF!</definedName>
    <definedName name="____DAT11">#REF!</definedName>
    <definedName name="____DAT12">#REF!</definedName>
    <definedName name="____DAT13">#REF!</definedName>
    <definedName name="____DAT14">#REF!</definedName>
    <definedName name="____DAT15">#REF!</definedName>
    <definedName name="____DAT16">#REF!</definedName>
    <definedName name="____DAT17">#REF!</definedName>
    <definedName name="____DAT18">#REF!</definedName>
    <definedName name="____DAT19">#REF!</definedName>
    <definedName name="____DAT2">#REF!</definedName>
    <definedName name="____DAT3">#REF!</definedName>
    <definedName name="____DAT4">#REF!</definedName>
    <definedName name="____DAT5">#REF!</definedName>
    <definedName name="____DAT6">#REF!</definedName>
    <definedName name="____DAT7">#REF!</definedName>
    <definedName name="____DAT8">#REF!</definedName>
    <definedName name="____DAT9">#REF!</definedName>
    <definedName name="____PG1">'[1]Timed Plan'!#REF!</definedName>
    <definedName name="____PG2">'[1]Timed Plan'!#REF!</definedName>
    <definedName name="___adr01">#REF!</definedName>
    <definedName name="___adr02">#REF!</definedName>
    <definedName name="___adr03">#REF!</definedName>
    <definedName name="___adr04">#REF!</definedName>
    <definedName name="___DAT1">#REF!</definedName>
    <definedName name="___DAT10">#REF!</definedName>
    <definedName name="___DAT11">#REF!</definedName>
    <definedName name="___DAT12">#REF!</definedName>
    <definedName name="___DAT13">#REF!</definedName>
    <definedName name="___DAT14">#REF!</definedName>
    <definedName name="___DAT15">#REF!</definedName>
    <definedName name="___DAT16">#REF!</definedName>
    <definedName name="___DAT17">#REF!</definedName>
    <definedName name="___DAT18">#REF!</definedName>
    <definedName name="___DAT19">#REF!</definedName>
    <definedName name="___DAT2">#REF!</definedName>
    <definedName name="___DAT3">#REF!</definedName>
    <definedName name="___DAT4">#REF!</definedName>
    <definedName name="___DAT5">#REF!</definedName>
    <definedName name="___DAT6">#REF!</definedName>
    <definedName name="___DAT7">#REF!</definedName>
    <definedName name="___DAT8">#REF!</definedName>
    <definedName name="___DAT9">#REF!</definedName>
    <definedName name="___PG1">'[1]Timed Plan'!#REF!</definedName>
    <definedName name="___PG2">'[1]Timed Plan'!#REF!</definedName>
    <definedName name="___S">'[1]Timed Plan'!#REF!</definedName>
    <definedName name="___S55_MAINTENANCE">[3]Manufacturing!#REF!</definedName>
    <definedName name="___S55_QUALITY__DEPT_705__">[3]Manufacturing!#REF!</definedName>
    <definedName name="___S60_MAINTENANCE__DEPTS_594___595_AND_ALL_S60_05000_ACCT">[3]Manufacturing!#REF!</definedName>
    <definedName name="___S60_MATERIAL__DEPT_910">[3]Manufacturing!#REF!</definedName>
    <definedName name="___thinkcellQB4AAAAAAAAAAAAAAAAOQQE6TH7CR4KKQBJA4HKECVVJM" localSheetId="2" hidden="1">'Profit Analysis'!$K$3:$U$20</definedName>
    <definedName name="___Typ1">#N/A</definedName>
    <definedName name="___Typ2">#N/A</definedName>
    <definedName name="___z">#REF!</definedName>
    <definedName name="__12_0ko">[4]Erg_rechnung!#REF!</definedName>
    <definedName name="__3_0Print_H">'[5]COST CENTER ACCOUNTING'!#REF!</definedName>
    <definedName name="__adr01">#REF!</definedName>
    <definedName name="__adr02">#REF!</definedName>
    <definedName name="__adr03">#REF!</definedName>
    <definedName name="__adr04">#REF!</definedName>
    <definedName name="__DAT1">#REF!</definedName>
    <definedName name="__DAT10">#REF!</definedName>
    <definedName name="__DAT11">#REF!</definedName>
    <definedName name="__DAT12">#REF!</definedName>
    <definedName name="__DAT13">#REF!</definedName>
    <definedName name="__DAT14">#REF!</definedName>
    <definedName name="__DAT15">#REF!</definedName>
    <definedName name="__DAT16">#REF!</definedName>
    <definedName name="__DAT17">#REF!</definedName>
    <definedName name="__DAT18">#REF!</definedName>
    <definedName name="__DAT19">#REF!</definedName>
    <definedName name="__DAT2">#REF!</definedName>
    <definedName name="__DAT3">#REF!</definedName>
    <definedName name="__DAT4">#REF!</definedName>
    <definedName name="__DAT5">#REF!</definedName>
    <definedName name="__DAT6">#REF!</definedName>
    <definedName name="__DAT7">#REF!</definedName>
    <definedName name="__DAT8">#REF!</definedName>
    <definedName name="__DAT9">#REF!</definedName>
    <definedName name="__PG1">'[1]Timed Plan'!#REF!</definedName>
    <definedName name="__PG2">'[1]Timed Plan'!#REF!</definedName>
    <definedName name="__S">'[1]Timed Plan'!#REF!</definedName>
    <definedName name="__S2000_MATERIAL_">[3]Manufacturing!#REF!</definedName>
    <definedName name="__S2000_QUALITY_">[3]Manufacturing!#REF!</definedName>
    <definedName name="__S55_MAINTENANCE">[3]Manufacturing!#REF!</definedName>
    <definedName name="__S55_QUALITY__DEPT_705__">[3]Manufacturing!#REF!</definedName>
    <definedName name="__S60_MAINTENANCE__DEPTS_594___595_AND_ALL_S60_05000_ACCT">[3]Manufacturing!#REF!</definedName>
    <definedName name="__S60_MATERIAL__DEPT_910">[3]Manufacturing!#REF!</definedName>
    <definedName name="__Typ1">#N/A</definedName>
    <definedName name="__Typ2">#N/A</definedName>
    <definedName name="__z">#REF!</definedName>
    <definedName name="_0_ICQ_Equip_Rental_ContrEx">#REF!</definedName>
    <definedName name="_0_SLQ_MetricsDIR">#REF!</definedName>
    <definedName name="_0_SLQ_MetricsIND">#REF!</definedName>
    <definedName name="_0_TAQ_TDC_AcctSumry">#REF!</definedName>
    <definedName name="_1_0Print_H">'[5]COST CENTER ACCOUNTING'!#REF!</definedName>
    <definedName name="_12_0ko">[4]Erg_rechnung!#REF!</definedName>
    <definedName name="_13_0ko">[4]Erg_rechnung!#REF!</definedName>
    <definedName name="_15ko">[4]Erg_rechnung!#REF!</definedName>
    <definedName name="_18ko">[4]Erg_rechnung!#REF!</definedName>
    <definedName name="_2_0Print_H">'[5]COST CENTER ACCOUNTING'!#REF!</definedName>
    <definedName name="_2_SLQ_NozzleList">#REF!</definedName>
    <definedName name="_20_0ko">[4]Erg_rechnung!#REF!</definedName>
    <definedName name="_2004_2007">"KVP2007"</definedName>
    <definedName name="_21_0ko">[4]Erg_rechnung!#REF!</definedName>
    <definedName name="_22_0ko">[4]Erg_rechnung!#REF!</definedName>
    <definedName name="_23_0ko">#N/A</definedName>
    <definedName name="_2ND_TIER">#REF!</definedName>
    <definedName name="_3_0Print_H">'[5]COST CENTER ACCOUNTING'!#REF!</definedName>
    <definedName name="_3_AQ_Acct3Pipe_AvgDiam">#REF!</definedName>
    <definedName name="_3_AQ_AGPipe_AvgDiam">#REF!</definedName>
    <definedName name="_3_AQ_AGPipe_AvgDiam_BoreLg">#REF!</definedName>
    <definedName name="_3_AQ_AGPipe_AvgDiam_BoreSm">#REF!</definedName>
    <definedName name="_3_AQ_AGPipe_AvgDiam_MatCS">#REF!</definedName>
    <definedName name="_3_AQ_AGPipe_AvgDiam_MatMisc">#REF!</definedName>
    <definedName name="_3_AQ_AGPipe_AvgDiam_MatSS">#REF!</definedName>
    <definedName name="_3_AQ_UGPipe_AvgDiam">#REF!</definedName>
    <definedName name="_3_KQQ_AGPipe_Sub1_BoreLg">#REF!</definedName>
    <definedName name="_3_KQQ_AGPipe_Sub1_BoreSm">#REF!</definedName>
    <definedName name="_3_KQQ_AGPipe_Sub2_InstPipe">#REF!</definedName>
    <definedName name="_3_KQQ_AGPipe_Sub2_Spool">#REF!</definedName>
    <definedName name="_3_KQQ_AGPipe_Sub2_StRun">#REF!</definedName>
    <definedName name="_3_KQQ_AGPipe_Sub3_FieldRunFab">#REF!</definedName>
    <definedName name="_3_KQQ_AGPipe_Sub3_RemoteFab">#REF!</definedName>
    <definedName name="_3_KQQ_AGPipeLength_MatCS">#REF!</definedName>
    <definedName name="_3_KQQ_AGPipeLength_MatMisc">#REF!</definedName>
    <definedName name="_3_KQQ_AGPipeLength_MatSS">#REF!</definedName>
    <definedName name="_4_0ko">[4]Erg_rechnung!#REF!</definedName>
    <definedName name="_4_0Print_H">'[5]COST CENTER ACCOUNTING'!#REF!</definedName>
    <definedName name="_4_KQQ_Conc_Sub1_BlkLg">#REF!</definedName>
    <definedName name="_4_KQQ_Conc_Sub1_BlkMed">#REF!</definedName>
    <definedName name="_4_KQQ_Conc_Sub1_BlkSm">#REF!</definedName>
    <definedName name="_4_KQQ_Conc_Sub1_DuctBank">#REF!</definedName>
    <definedName name="_4_KQQ_Conc_Sub1_Elev">#REF!</definedName>
    <definedName name="_4_KQQ_Conc_Sub1_MassLg">#REF!</definedName>
    <definedName name="_4_KQQ_Conc_Sub1_MassMed">#REF!</definedName>
    <definedName name="_4_KQQ_Conc_Sub1_MassSm">#REF!</definedName>
    <definedName name="_4_KQQ_Conc_Sub1_Piling">#REF!</definedName>
    <definedName name="_4_KQQ_ConcTot_Embeds">#REF!</definedName>
    <definedName name="_4_KQQ_ConcTot_ExcBF">#REF!</definedName>
    <definedName name="_4_KQQ_ConcTot_Forms">#REF!</definedName>
    <definedName name="_4_KQQ_ConcTot_Grout">#REF!</definedName>
    <definedName name="_4_KQQ_ConcTot_Rebar">#REF!</definedName>
    <definedName name="_4_KQQ_ConcTotQty">#REF!</definedName>
    <definedName name="_5_0ko">[4]Erg_rechnung!#REF!</definedName>
    <definedName name="_5_KQQ_TotQty_Sub1_ExLtLt">#REF!</definedName>
    <definedName name="_5_KQQ_TotQty_Sub1_HvyXHvy">#REF!</definedName>
    <definedName name="_5_KQQ_TotQty_Sub1_Ldr">#REF!</definedName>
    <definedName name="_5_KQQ_TotQty_Sub1_Med">#REF!</definedName>
    <definedName name="_5_KQQ_TotQty_Sub1_Misc">#REF!</definedName>
    <definedName name="_5_KQQ_TotQty_Sub1_PlatStrGrt">#REF!</definedName>
    <definedName name="_5_KQQ_TotQty_Sub2_FloorTread">#REF!</definedName>
    <definedName name="_5_KQQ_TotQty_Sub2_HR">#REF!</definedName>
    <definedName name="_5_KQQ_TotQty_Sub2_Ladder">#REF!</definedName>
    <definedName name="_5_KQQ_TotQty_Sub2_Other">#REF!</definedName>
    <definedName name="_5_KQQ_TotQty_Sub2_Piperack">#REF!</definedName>
    <definedName name="_5_KQQ_TotQty_Sub2_Platform">#REF!</definedName>
    <definedName name="_5_KQQ_TotQty_Sub2_Structure">#REF!</definedName>
    <definedName name="_5_KQQ_TotQty_Sub2_Suppts">#REF!</definedName>
    <definedName name="_5_KQQ_TotQty_Sub2_TowersTrusses">#REF!</definedName>
    <definedName name="_6_0ko">[4]Erg_rechnung!#REF!</definedName>
    <definedName name="_6_KQQ_InstTerms">#REF!</definedName>
    <definedName name="_6_KQQ_InstWire">#REF!</definedName>
    <definedName name="_6_KQQ_RacewayTot">#REF!</definedName>
    <definedName name="_6_KQQ_TotCount_InstJBox">#REF!</definedName>
    <definedName name="_6Print_H">'[5]COST CENTER ACCOUNTING'!#REF!</definedName>
    <definedName name="_7_0ko">[4]Erg_rechnung!#REF!</definedName>
    <definedName name="_7_KQQ_AGElecTerms">#REF!</definedName>
    <definedName name="_7_KQQ_AGJBox">#REF!</definedName>
    <definedName name="_7_KQQ_AGRacewayTot">#REF!</definedName>
    <definedName name="_7_KQQ_AGUGElecTerms">#REF!</definedName>
    <definedName name="_7_KQQ_AGUGJBox">#REF!</definedName>
    <definedName name="_7_KQQ_AGUGRacewayTot">#REF!</definedName>
    <definedName name="_8_0ko">[4]Erg_rechnung!#REF!</definedName>
    <definedName name="_9_0ko">[4]Erg_rechnung!#REF!</definedName>
    <definedName name="_adr01">#REF!</definedName>
    <definedName name="_adr02">#REF!</definedName>
    <definedName name="_adr03">#REF!</definedName>
    <definedName name="_adr04">#REF!</definedName>
    <definedName name="_akt1">#REF!</definedName>
    <definedName name="_akt2">#REF!</definedName>
    <definedName name="_akt3">#REF!</definedName>
    <definedName name="_akt4">#REF!</definedName>
    <definedName name="_alt1">#REF!</definedName>
    <definedName name="_alt2">#REF!</definedName>
    <definedName name="_alt3">#REF!</definedName>
    <definedName name="_alt4">#REF!</definedName>
    <definedName name="_c">#REF!</definedName>
    <definedName name="_Currency_Equip_Rental_Summary_by_ContrEx">#REF!</definedName>
    <definedName name="_DAT1">#REF!</definedName>
    <definedName name="_DAT10">#REF!</definedName>
    <definedName name="_DAT11">#REF!</definedName>
    <definedName name="_DAT12">#REF!</definedName>
    <definedName name="_DAT13">#REF!</definedName>
    <definedName name="_DAT14">#REF!</definedName>
    <definedName name="_DAT15">#REF!</definedName>
    <definedName name="_DAT16">#REF!</definedName>
    <definedName name="_DAT17">#REF!</definedName>
    <definedName name="_DAT18">#REF!</definedName>
    <definedName name="_DAT19">#REF!</definedName>
    <definedName name="_DAT2">#REF!</definedName>
    <definedName name="_DAT3">#REF!</definedName>
    <definedName name="_DAT4">#REF!</definedName>
    <definedName name="_DAT5">#REF!</definedName>
    <definedName name="_DAT6">#REF!</definedName>
    <definedName name="_DAT7">#REF!</definedName>
    <definedName name="_DAT8">#REF!</definedName>
    <definedName name="_DAT9">#REF!</definedName>
    <definedName name="_Estimate_Class_Equip_Rental_Summary_by_ContrEx">#REF!</definedName>
    <definedName name="_Estimate_Date_Equip_Rental_Summary_by_ContrEx">#REF!</definedName>
    <definedName name="_GSRATES_1" hidden="1">"CT300001Latest          "</definedName>
    <definedName name="_GSRATES_COUNT" hidden="1">1</definedName>
    <definedName name="_Job_Number_Equip_Rental_Summary_by_ContrEx">#REF!</definedName>
    <definedName name="_neu1">[6]Premises!#REF!</definedName>
    <definedName name="_neu2">[6]Premises!#REF!</definedName>
    <definedName name="_neu3">[6]Premises!#REF!</definedName>
    <definedName name="_neu4">[6]Premises!#REF!</definedName>
    <definedName name="_Order1" hidden="1">255</definedName>
    <definedName name="_PG1">'[1]Timed Plan'!#REF!</definedName>
    <definedName name="_PG2">'[1]Timed Plan'!#REF!</definedName>
    <definedName name="_Prepared_By_Equip_Rental_Summary_by_ContrEx">#REF!</definedName>
    <definedName name="_Project_Directory_Proj_Cost_Sumry">'[7]Proj Cost Sumry_S1'!#REF!</definedName>
    <definedName name="_Project_Location_Equip_Rental_Summary_by_ContrEx">#REF!</definedName>
    <definedName name="_Project_Name_Equip_Rental_Summary_by_ContrEx">#REF!</definedName>
    <definedName name="_Project_Title_Equip_Rental_Summary_by_ContrEx">#REF!</definedName>
    <definedName name="_r">#REF!</definedName>
    <definedName name="_Report_Header_Equip_Rental_Summary_by_ContrEx">#REF!</definedName>
    <definedName name="_S">'[1]Timed Plan'!#REF!</definedName>
    <definedName name="_S2000_MATERIAL_">[3]Manufacturing!#REF!</definedName>
    <definedName name="_S2000_QUALITY_">[3]Manufacturing!#REF!</definedName>
    <definedName name="_S55_MAINTENANCE">[3]Manufacturing!#REF!</definedName>
    <definedName name="_S55_QUALITY__DEPT_705__">[3]Manufacturing!#REF!</definedName>
    <definedName name="_S60_MAINTENANCE__DEPTS_594___595_AND_ALL_S60_05000_ACCT">[3]Manufacturing!#REF!</definedName>
    <definedName name="_S60_MATERIAL__DEPT_910">[3]Manufacturing!#REF!</definedName>
    <definedName name="_Scenario_Name_Equip_Rental_Summary_by_ContrEx">#REF!</definedName>
    <definedName name="_Typ1">MID(CELL([0]!File),FIND(".X",CELL([0]!File))+2,1)</definedName>
    <definedName name="_Typ1a">#N/A</definedName>
    <definedName name="_Typ2">MID(CELL([0]!File),FIND(".X",CELL([0]!File))+3,1)</definedName>
    <definedName name="_Typ2a">#N/A</definedName>
    <definedName name="_z">#REF!</definedName>
    <definedName name="a">#REF!</definedName>
    <definedName name="aa">#N/A</definedName>
    <definedName name="Absatz_MBUSI_Teile_2015">#REF!</definedName>
    <definedName name="ACT_FB">#REF!</definedName>
    <definedName name="ACT_MMPW">#REF!</definedName>
    <definedName name="ACTEQ">#REF!</definedName>
    <definedName name="ACTIVA">#REF!</definedName>
    <definedName name="Added_capital">#REF!</definedName>
    <definedName name="Additional_need_of_cash">#REF!</definedName>
    <definedName name="Additional_need_of_cash__change_to_prev._year">'[8]10_Work_cap'!$B$133:$O$133</definedName>
    <definedName name="Adjusted_Invest">'[9]Input 6_Invest '!#REF!</definedName>
    <definedName name="AdjValYr">#REF!</definedName>
    <definedName name="ADMIN_EX">#REF!</definedName>
    <definedName name="advance_payments__30">#REF!</definedName>
    <definedName name="ADVERTIS">#REF!</definedName>
    <definedName name="AfA">#REF!</definedName>
    <definedName name="afds">#REF!</definedName>
    <definedName name="aktsum">#REF!</definedName>
    <definedName name="Allocation_Types">#REF!</definedName>
    <definedName name="altsum">#REF!</definedName>
    <definedName name="Anlage">MID(CELL([0]!File),FIND("C60",CELL([0]!File))-2,5)&amp;"a-"</definedName>
    <definedName name="Anlagea">#N/A</definedName>
    <definedName name="ANNUITY">#REF!</definedName>
    <definedName name="anscount" hidden="1">1</definedName>
    <definedName name="Anzahl_AP">#REF!</definedName>
    <definedName name="Anzahl_Berichte">#REF!</definedName>
    <definedName name="Anzahl_MonatJahr">#REF!</definedName>
    <definedName name="Anzahl_Projekt">#REF!</definedName>
    <definedName name="Anzahl_Werk">#REF!</definedName>
    <definedName name="ApplicationServices">[10]Lookup!$B$62:$B$64</definedName>
    <definedName name="asddddfdddd">#N/A</definedName>
    <definedName name="ASI_MO">#REF!</definedName>
    <definedName name="ASI_OF">#REF!</definedName>
    <definedName name="ASI_RB">#REF!</definedName>
    <definedName name="ASSEMBLY_AND_TEST">[3]Manufacturing!#REF!</definedName>
    <definedName name="Authorized_capital">#REF!</definedName>
    <definedName name="AWZ">#REF!</definedName>
    <definedName name="AWZ_Produkte">#REF!</definedName>
    <definedName name="ay">#REF!</definedName>
    <definedName name="B">#REF!</definedName>
    <definedName name="ba">#N/A</definedName>
    <definedName name="baird">#REF!</definedName>
    <definedName name="Balance_profit_loss">#REF!</definedName>
    <definedName name="bankval">#REF!</definedName>
    <definedName name="BaseCurrency">[10]Lookup!$B$115:$B$117</definedName>
    <definedName name="Basic_ckd_set">#REF!</definedName>
    <definedName name="Basic_wages_and_salaries">#REF!</definedName>
    <definedName name="Bereichskennung">SUM(IF([0]!Center=UPPER(MID([0]!Zentrale_Bereiche,1,2)),1,0))</definedName>
    <definedName name="Bereichskennunga">SUM(IF([0]!Centera=UPPER(MID([0]!Zentrale_Bereiche,1,2)),1,0))</definedName>
    <definedName name="Berichtsdatum">[11]Eingabemaske!$B$2</definedName>
    <definedName name="BEx1K47RNCO80AKIA8S032SSQ3KF" hidden="1">[12]FP11!#REF!</definedName>
    <definedName name="BExUAO97EUT0PHRYUXL6XE0NIU7F" hidden="1">[12]FP11!#REF!</definedName>
    <definedName name="bg">#REF!</definedName>
    <definedName name="BGTVSACT">#REF!</definedName>
    <definedName name="BIGLOOP">#REF!</definedName>
    <definedName name="BM">#REF!</definedName>
    <definedName name="BOTH">#REF!</definedName>
    <definedName name="CAN">#REF!</definedName>
    <definedName name="Capital_Employed">#REF!</definedName>
    <definedName name="Capital_for_securities">#REF!</definedName>
    <definedName name="Capital_invested_in_securities">'[13]13_financ_res'!$B$25:$O$25</definedName>
    <definedName name="Capitalised_start_up_expenses">#REF!</definedName>
    <definedName name="Capitalization_of_start_up_expenses">#REF!</definedName>
    <definedName name="Captital_for_securities">#REF!</definedName>
    <definedName name="Cash_capital__Total">#REF!</definedName>
    <definedName name="CBU">#REF!</definedName>
    <definedName name="CE_Report">[14]Variables!$A$1:$K$4779</definedName>
    <definedName name="Center">MID(CELL([0]!File),FIND(".X",CELL([0]!File))-2,2)</definedName>
    <definedName name="Centera">#N/A</definedName>
    <definedName name="Change_in_deposits">#REF!</definedName>
    <definedName name="Change_in_financing_credits_MBAG">#REF!</definedName>
    <definedName name="Change_in_investment_reserves">#REF!</definedName>
    <definedName name="Change_in_Loans__total">'[15]14 Funding'!$B$57:$O$57</definedName>
    <definedName name="Change_in_reserves">#REF!</definedName>
    <definedName name="Change_in_Stock">#REF!</definedName>
    <definedName name="Change_in_Stock_E_200">#REF!</definedName>
    <definedName name="Change_in_Stock_E_230">#REF!</definedName>
    <definedName name="Change_in_Working_capital">#REF!</definedName>
    <definedName name="Change_in_Working_capital_E_200">#REF!</definedName>
    <definedName name="Change_in_Working_capital_E_230">#REF!</definedName>
    <definedName name="Change_sup._credits_E_200_to_prev_year">#REF!</definedName>
    <definedName name="Change_sup._credits_E_230_to_prev_year">#REF!</definedName>
    <definedName name="Change_sup._credits_to_prev_year">#REF!</definedName>
    <definedName name="Change_supplier_credits_vs_previous_year">'[8]10_Work_cap'!$B$130:$O$130</definedName>
    <definedName name="changes_to_pr._y._E_200">#REF!</definedName>
    <definedName name="changes_to_pr._y._E_230">#REF!</definedName>
    <definedName name="ChgExplanation">#REF!</definedName>
    <definedName name="China">'[16]LC Hannover'!#REF!</definedName>
    <definedName name="CKD_Customs__total_value">#REF!</definedName>
    <definedName name="CKD_Kit___Local_Content_total_E_200_CKD">'[17]6_CKD  E200K'!$B$135:$O$135</definedName>
    <definedName name="CKD_Kit___Local_Content_total_E_200_SKD">'[17]6_CKD  E200K'!$B$135:$O$135</definedName>
    <definedName name="CKD_Kit___Local_Content_total_E_300_CKD">'[17]6_CKD  E300'!$B$135:$O$135</definedName>
    <definedName name="CKD_Kit___Local_Content_total_E_320_CKD">'[17]6_CKD  E320'!$B$135:$O$135</definedName>
    <definedName name="CKD_Kit___Local_Content_total_E_320_SKD">'[17]6_SKD  E320'!$B$135:$O$135</definedName>
    <definedName name="CKD_Kit___Local_Content_total_S_350_L_SKD">'[17]6_SKD  S350L'!$B$135:$O$135</definedName>
    <definedName name="CKD_Kit__FOB_E_200_K">'[17]6_CKD  E200K'!$B$68:$O$68</definedName>
    <definedName name="CKD_Kit__FOB_E_300">'[17]6_CKD  E300'!$B$68:$O$68</definedName>
    <definedName name="CKD_Kit__FOB_E_320">'[17]6_CKD  E320'!$B$68:$O$68</definedName>
    <definedName name="CKD_val_inflated">#REF!</definedName>
    <definedName name="CKD_val_uninflated">#REF!</definedName>
    <definedName name="CKD_Value_ENP_fob__on_invoice">#REF!</definedName>
    <definedName name="CKD_Value_ENP_fob_E_230">#REF!</definedName>
    <definedName name="CKD_value_in_stock">#REF!</definedName>
    <definedName name="CoCRates">[10]Lookup!$C$99:$C$101</definedName>
    <definedName name="COLA">#REF!</definedName>
    <definedName name="Common">#REF!</definedName>
    <definedName name="CON_INFL">#REF!</definedName>
    <definedName name="CONSOL">#REF!</definedName>
    <definedName name="CONSOL1">'[1]Timed Plan'!#REF!</definedName>
    <definedName name="Construction___supply_facilities">#REF!</definedName>
    <definedName name="CONSUMER">#REF!</definedName>
    <definedName name="CopyArea">#REF!</definedName>
    <definedName name="Cost_Center_Category">#REF!</definedName>
    <definedName name="COUNTRY_NO.">#REF!</definedName>
    <definedName name="CPE_2">'[18]Employment Costs'!#REF!</definedName>
    <definedName name="Credits_from_MBAG__E_200">#REF!</definedName>
    <definedName name="Credits_from_MBAG__E_230">#REF!</definedName>
    <definedName name="Credits_from_MBAG_bearing_interest">#REF!</definedName>
    <definedName name="_xlnm.Criteria">#REF!</definedName>
    <definedName name="Current_assets">#REF!</definedName>
    <definedName name="CurrentYear">'[19]MOAB Base Data'!$B$4</definedName>
    <definedName name="Custom_base__CIF_value__inflated">#REF!</definedName>
    <definedName name="Custom_base_E_230_CKD__CIF_value__inflated">#REF!</definedName>
    <definedName name="Custom_base_E200_in_local_currency">#REF!</definedName>
    <definedName name="Customs_Aircon">#REF!</definedName>
    <definedName name="Customs_Axles">#REF!</definedName>
    <definedName name="Customs_Battery">#REF!</definedName>
    <definedName name="Customs_E_200_total">#REF!</definedName>
    <definedName name="Customs_E_200_total_inflated">#REF!</definedName>
    <definedName name="Customs_E_230_p._unit__total_value">#REF!</definedName>
    <definedName name="Customs_E_230_p._unit_CKD">#REF!</definedName>
    <definedName name="Customs_E_230_total_per_Unit">#REF!</definedName>
    <definedName name="Customs_Exhaust_System">#REF!</definedName>
    <definedName name="Customs_for_CKD_components">#REF!</definedName>
    <definedName name="Customs_for_Front_and_rear_axle">#REF!</definedName>
    <definedName name="Customs_Glass">#REF!</definedName>
    <definedName name="Customs_Instrument_Cluster">#REF!</definedName>
    <definedName name="Customs_on_parts__total_value">#REF!</definedName>
    <definedName name="Customs_on_parts_E_200___Unit">#REF!</definedName>
    <definedName name="Customs_on_parts_E_200_total_inflated">#REF!</definedName>
    <definedName name="Customs_on_parts_E_230___Unit">#REF!</definedName>
    <definedName name="Customs_on_parts_E_230_total_inflated">#REF!</definedName>
    <definedName name="Customs_on_parts_E_230_total_per_Unit">#REF!</definedName>
    <definedName name="Customs_p._unit__total_value">#REF!</definedName>
    <definedName name="Customs_p._unit_E_200__total_value">#REF!</definedName>
    <definedName name="Customs_Paint">#REF!</definedName>
    <definedName name="Customs_Radiator">#REF!</definedName>
    <definedName name="Customs_Radio">#REF!</definedName>
    <definedName name="Customs_Seats">#REF!</definedName>
    <definedName name="Customs_Wire_harness">#REF!</definedName>
    <definedName name="customval">#REF!</definedName>
    <definedName name="cv">#REF!</definedName>
    <definedName name="cvb">#REF!</definedName>
    <definedName name="cxv">#REF!</definedName>
    <definedName name="d">#REF!</definedName>
    <definedName name="dafd">MID(CELL([0]!File),FIND("C60",CELL([0]!File))-2,5)&amp;"a-"</definedName>
    <definedName name="dafda">#N/A</definedName>
    <definedName name="Data_processing">#REF!</definedName>
    <definedName name="DATA1">#REF!</definedName>
    <definedName name="DATA2">#REF!</definedName>
    <definedName name="DATA3">#REF!</definedName>
    <definedName name="DATA4">#REF!</definedName>
    <definedName name="_xlnm.Database">#REF!</definedName>
    <definedName name="DataTable">'[20]FAS 106 - OPRBs Results'!$A$3:$V$17</definedName>
    <definedName name="DBAG_capital">#REF!</definedName>
    <definedName name="DBAG_capital_share">#REF!</definedName>
    <definedName name="DBAG_share">#REF!</definedName>
    <definedName name="DBSEND_JN">#REF!</definedName>
    <definedName name="DCAG_share">'[15]14 Funding'!$B$41:$O$41</definedName>
    <definedName name="dcror">'[21]Annuity Factors'!$C$32</definedName>
    <definedName name="DDOC">#REF!</definedName>
    <definedName name="DDODC">#REF!</definedName>
    <definedName name="DDRC">#REF!</definedName>
    <definedName name="Debt">#REF!</definedName>
    <definedName name="Debt_in___of_balance_vol.">#REF!</definedName>
    <definedName name="Delta_Equity">#REF!</definedName>
    <definedName name="DEMeXToEUR" hidden="1">[22]EurotoolsXRates!$B$7</definedName>
    <definedName name="Deprec_financ">#REF!</definedName>
    <definedName name="Depreciation_E.G.A_financial">#REF!</definedName>
    <definedName name="Depreciation_E.G.A_notional">#REF!</definedName>
    <definedName name="Depreciation_retail_financial">'[8]11_depreciation'!#REF!</definedName>
    <definedName name="DETROIT_DIESEL_CORPORATION">#REF!</definedName>
    <definedName name="dfg">#REF!</definedName>
    <definedName name="dgr">#REF!</definedName>
    <definedName name="Direct_labor__Net._Income___AK">#REF!</definedName>
    <definedName name="Direct_labor__personal_Income___AK">#REF!</definedName>
    <definedName name="Direct_labor_AK">'[15]Input 3_Workforce Production'!$B$14:$K$14</definedName>
    <definedName name="Direct_labor_workers">'[15]Input 3_Workforce Production'!$B$14:$K$14</definedName>
    <definedName name="Direct_labor_workers_E_230">#REF!</definedName>
    <definedName name="Direct_material_costs_E_200_Classic">#REF!</definedName>
    <definedName name="Direct_material_costs_E_230_Elegance">#REF!</definedName>
    <definedName name="Direct_wages_and_salaries">#REF!</definedName>
    <definedName name="Direct_workers_E_200">#REF!</definedName>
    <definedName name="disc">#REF!</definedName>
    <definedName name="Discounted_Cash_flow">#REF!</definedName>
    <definedName name="Diskontierte_Cash_flow_s_in_LE">#REF!</definedName>
    <definedName name="disval">#REF!</definedName>
    <definedName name="Dividend_payments">#REF!</definedName>
    <definedName name="Dividend_payments__50__distributed">#REF!</definedName>
    <definedName name="Dividend_payments__after_provisions_distributed">#REF!</definedName>
    <definedName name="Dividend_payments_for_employees">#REF!</definedName>
    <definedName name="Dividend_payments_privileged_shares__40__of_net_profit_after_10__to_the_reserves">#REF!</definedName>
    <definedName name="Dividend_value_for_MBAG_in_DM">#REF!</definedName>
    <definedName name="Dividendenbarwerte_DBAG">#REF!</definedName>
    <definedName name="Dividends_employees">'[13]12_Liquidity'!$B$47:$O$47</definedName>
    <definedName name="Dividends_f._ordinary_shares">#REF!</definedName>
    <definedName name="Dividends_for_privileged_shares__40__of_net_profit">#REF!</definedName>
    <definedName name="Dividends_for_the_employees">#REF!</definedName>
    <definedName name="Dividends_privileged_shares">'[13]12_Liquidity'!$B$46:$O$46</definedName>
    <definedName name="Dividends_to_the_shareholders">#REF!</definedName>
    <definedName name="dkfjakeur">#REF!,#REF!,#REF!,#REF!,#REF!,#REF!,#REF!,#REF!,#REF!,#REF!,#REF!,#REF!,#REF!,#REF!</definedName>
    <definedName name="DOM">#REF!</definedName>
    <definedName name="DOM_EMPL">'[18]Employment Costs'!#REF!</definedName>
    <definedName name="DOM_TRVL">#REF!</definedName>
    <definedName name="drate">'[21]Annuity Factors'!$C$31</definedName>
    <definedName name="dsf">#REF!</definedName>
    <definedName name="dutieval">#REF!</definedName>
    <definedName name="DutyROW">[23]Premisses!#REF!</definedName>
    <definedName name="DutyUS">[23]Premisses!#REF!</definedName>
    <definedName name="dv">#REF!</definedName>
    <definedName name="e">#REF!</definedName>
    <definedName name="E_200_Classic">'[24]Input 1_Volume'!#REF!</definedName>
    <definedName name="E_200_Classic_inflated__Egyptian_options">'[9]Input 1_Volume'!#REF!</definedName>
    <definedName name="E_200_Price__95">'[9]Input 1_Volume'!#REF!</definedName>
    <definedName name="E_200_Price__95_uninflated__German_marks">'[9]Input 1_Volume'!#REF!</definedName>
    <definedName name="E_200_Price__97">'[9]Input 1_Volume'!#REF!</definedName>
    <definedName name="E_230_Elegance_inflated__Egyptian_options">'[9]Input 1_Volume'!#REF!</definedName>
    <definedName name="E_230_Price__95_uninflated__German_marks">'[9]Input 1_Volume'!#REF!</definedName>
    <definedName name="Ea">#N/A</definedName>
    <definedName name="ee">'[25]OP11_2 EA 11'!$D$44</definedName>
    <definedName name="Eink.Basis">#REF!</definedName>
    <definedName name="Einmalausgaben">#REF!</definedName>
    <definedName name="ELC_EtoilesurRhone">'[16]LC Hannover'!#REF!</definedName>
    <definedName name="ELC_Miralcampo">'[16]LC Hannover'!#REF!</definedName>
    <definedName name="ELC_Valenciennes">'[16]LC Hannover'!#REF!</definedName>
    <definedName name="ELC_Warsaw">'[16]LC Hannover'!#REF!</definedName>
    <definedName name="ELC_WarsawEUR">'[16]LC Hannover'!#REF!</definedName>
    <definedName name="ELIM">'[1]Timed Plan'!#REF!</definedName>
    <definedName name="Employees">'[15]Input 3_Workforce Production'!$B$16:$K$16</definedName>
    <definedName name="Employees__incl._whole_sale_function">'[15]Input 3_Workforce Production'!$B$16:$K$16</definedName>
    <definedName name="Employees__incl._whole_sale_function__E_200">#REF!</definedName>
    <definedName name="Employees__incl._whole_sale_function__E_230">#REF!</definedName>
    <definedName name="Employees__Net._Income___AK">#REF!</definedName>
    <definedName name="Employees__personal_Income___AK">#REF!</definedName>
    <definedName name="Employees_AK">'[15]Input 3_Workforce Production'!$B$16:$K$16</definedName>
    <definedName name="ENG_93">#REF!</definedName>
    <definedName name="ENG_94">#REF!</definedName>
    <definedName name="ENG_96">#REF!</definedName>
    <definedName name="ENG_CHRT">#REF!</definedName>
    <definedName name="ENP_CBU_E_230_Elegance_ex_factory">#REF!</definedName>
    <definedName name="ENP_CBU_ex_factory">#REF!</definedName>
    <definedName name="Equity">#REF!</definedName>
    <definedName name="er">#REF!</definedName>
    <definedName name="ety">MID(CELL([0]!File),FIND(".X",CELL([0]!File))+2,1)</definedName>
    <definedName name="etya">#N/A</definedName>
    <definedName name="Eu2LC">#REF!</definedName>
    <definedName name="EUR">#REF!</definedName>
    <definedName name="Euro">1.95583</definedName>
    <definedName name="ewr">#REF!</definedName>
    <definedName name="Expats__plant_man_LC_QM_prod">'[9]Input 4_Wages'!#REF!</definedName>
    <definedName name="Expats__sales__controlling">'[9]Input 4_Wages'!#REF!</definedName>
    <definedName name="EXPENSES">#REF!</definedName>
    <definedName name="exrate">#REF!</definedName>
    <definedName name="External_works_budget">#REF!</definedName>
    <definedName name="_xlnm.Extract">#REF!</definedName>
    <definedName name="f">#REF!</definedName>
    <definedName name="Fa">#N/A</definedName>
    <definedName name="FB_EST">#REF!</definedName>
    <definedName name="FB_SUM">#REF!</definedName>
    <definedName name="FB_SUM_2">#REF!</definedName>
    <definedName name="fdg">#REF!</definedName>
    <definedName name="Feiertage">#REF!,#REF!,#REF!,#REF!,#REF!,#REF!,#REF!,#REF!,#REF!,#REF!,#REF!,#REF!,#REF!,#REF!</definedName>
    <definedName name="FEMALE">#REF!</definedName>
    <definedName name="fg">#REF!</definedName>
    <definedName name="FGK_MO_164">#REF!</definedName>
    <definedName name="FGK_MO_251">#REF!</definedName>
    <definedName name="FGK_OF_164">#REF!</definedName>
    <definedName name="FGK_OF_251">#REF!</definedName>
    <definedName name="FGK_RB_164">#REF!</definedName>
    <definedName name="FGK_RB_251">#REF!</definedName>
    <definedName name="FGKMOV251">#REF!</definedName>
    <definedName name="FGKMOW164">#REF!</definedName>
    <definedName name="FGKMOW251">#REF!</definedName>
    <definedName name="FGKMOX164">#REF!</definedName>
    <definedName name="FGKOFV251">#REF!</definedName>
    <definedName name="FGKOFW164">#REF!</definedName>
    <definedName name="FGKOFW251">#REF!</definedName>
    <definedName name="FGKOFX164">#REF!</definedName>
    <definedName name="FGKRBV251">#REF!</definedName>
    <definedName name="FGKRBW164">#REF!</definedName>
    <definedName name="FGKRBW251">#REF!</definedName>
    <definedName name="FGKRBX164">#REF!</definedName>
    <definedName name="fhhdf" hidden="1">{"ONE",#N/A,FALSE,"96DDCOD";"TWO",#N/A,FALSE,"96DDCOD"}</definedName>
    <definedName name="File">CHOOSE([0]!Sprache,"Dateiname","Nombre")</definedName>
    <definedName name="Filea">CHOOSE([0]!Sprache,"Dateiname","Nombre")</definedName>
    <definedName name="financial_assets">#REF!</definedName>
    <definedName name="Financial_result">#REF!</definedName>
    <definedName name="Fixed_assets">#REF!</definedName>
    <definedName name="FKProp">[23]Premisses!$D$8</definedName>
    <definedName name="FL_MO_164">#REF!</definedName>
    <definedName name="FL_MO_251">#REF!</definedName>
    <definedName name="FL_OF_164">#REF!</definedName>
    <definedName name="FL_OF_251">#REF!</definedName>
    <definedName name="FL_RB_164">#REF!</definedName>
    <definedName name="FL_RB_251">#REF!</definedName>
    <definedName name="FLMOV251">#REF!</definedName>
    <definedName name="FLMOW164">#REF!</definedName>
    <definedName name="FLMOW251">#REF!</definedName>
    <definedName name="FLMOX164">#REF!</definedName>
    <definedName name="FLOFV251">#REF!</definedName>
    <definedName name="FLOFW164">#REF!</definedName>
    <definedName name="FLOFW251">#REF!</definedName>
    <definedName name="FLOFX164">#REF!</definedName>
    <definedName name="FLRBV251">#REF!</definedName>
    <definedName name="FLRBW164">#REF!</definedName>
    <definedName name="FLRBW251">#REF!</definedName>
    <definedName name="FLRBX164">#REF!</definedName>
    <definedName name="FOK_Hx">OFFSET('[19]FOK History Base'!$A$1,0,0,COUNTA('[19]FOK History Base'!$A:$A),COUNTA('[19]FOK History Base'!$1:$1))</definedName>
    <definedName name="FOK_Hx_GOP">OFFSET('[19]FOK History Base'!$A$1,0,0,COUNTA('[19]FOK History Base'!$A:$A),1)</definedName>
    <definedName name="FOK_Hx_Model">OFFSET('[19]FOK History Base'!$B$1,0,0,COUNTA('[19]FOK History Base'!$B:$B),1)</definedName>
    <definedName name="FOK_Hx_Month">OFFSET('[19]FOK History Base'!$A$1,0,0,1,COUNTA('[19]FOK History Base'!$1:$1))</definedName>
    <definedName name="FORECAST">#REF!</definedName>
    <definedName name="freeval">#REF!</definedName>
    <definedName name="Freight_charge_Cif__percentage">'[9]Input 5_CKD Type Calculation'!#REF!</definedName>
    <definedName name="freightval">#REF!</definedName>
    <definedName name="Frieght_charge_Cif__percentage">'[9]Input 5_CKD Type Calculation'!#REF!</definedName>
    <definedName name="Front_and_rear_axle_imported">'[9]Input 5_CKD Type Calculation'!#REF!</definedName>
    <definedName name="Functional_Area">#REF!</definedName>
    <definedName name="FUTUREPAY">#REF!</definedName>
    <definedName name="g">#REF!</definedName>
    <definedName name="G_a">#N/A</definedName>
    <definedName name="GA">#REF!</definedName>
    <definedName name="gaga">#REF!</definedName>
    <definedName name="gagaga">#REF!</definedName>
    <definedName name="GBDA_SAR">#REF!</definedName>
    <definedName name="gdfd">MID(CELL([0]!File),FIND(".X",CELL([0]!File))+2,1)</definedName>
    <definedName name="gdfda">#N/A</definedName>
    <definedName name="German_Price_planning">'[9]Input 1_Volume'!#REF!</definedName>
    <definedName name="Gewerk_AF">#REF!</definedName>
    <definedName name="Gewerk_Anl">#REF!</definedName>
    <definedName name="Gewerk_AT">#REF!</definedName>
    <definedName name="Gewerk_DLZ">#REF!</definedName>
    <definedName name="Gewerk_EMO">#REF!</definedName>
    <definedName name="Gewerk_IT">#REF!</definedName>
    <definedName name="Gewerk_KFT">#REF!</definedName>
    <definedName name="Gewerk_KT">#REF!</definedName>
    <definedName name="Gewerk_LEER">#REF!</definedName>
    <definedName name="Gewerk_LOG">#REF!</definedName>
    <definedName name="Gewerk_MANU">#REF!</definedName>
    <definedName name="Gewerk_MO">#REF!</definedName>
    <definedName name="Gewerk_NLS">#REF!</definedName>
    <definedName name="Gewerk_OF">#REF!</definedName>
    <definedName name="Gewerk_Q">#REF!</definedName>
    <definedName name="Gewerk_RB">#REF!</definedName>
    <definedName name="Gewerk_S">#REF!</definedName>
    <definedName name="Gewerk_W10">#REF!</definedName>
    <definedName name="Gewerk_WLT">#REF!</definedName>
    <definedName name="gfb">#REF!</definedName>
    <definedName name="gfhj">#REF!</definedName>
    <definedName name="ghj">#REF!</definedName>
    <definedName name="GOP">'[19]MOAB Base Data'!$C$4</definedName>
    <definedName name="GOP_OLD">'[19]MOAB Base Data'!$C$7</definedName>
    <definedName name="GRAND_TOTAL_MATERIAL__ALL_AREA_s">#REF!</definedName>
    <definedName name="gross_discount">#REF!</definedName>
    <definedName name="gross_dm">#REF!</definedName>
    <definedName name="h">#REF!</definedName>
    <definedName name="HB_Assy_04">#REF!</definedName>
    <definedName name="hgn">#REF!</definedName>
    <definedName name="hjhjk">#REF!</definedName>
    <definedName name="hjjj">'[26]MOAB base data'!$C$6</definedName>
    <definedName name="HKDEUR02">[27]ITM!#REF!</definedName>
    <definedName name="HKDEUR03">[27]ITM!#REF!</definedName>
    <definedName name="HKDEUR04">[27]ITM!#REF!</definedName>
    <definedName name="HKDEUR05">[27]ITM!#REF!</definedName>
    <definedName name="HKDUSD01">'[28]Budget english'!$C$44</definedName>
    <definedName name="HKDUSD02">[27]ITM!#REF!</definedName>
    <definedName name="HKDUSD04">[27]ITM!#REF!</definedName>
    <definedName name="hn">#REF!</definedName>
    <definedName name="HOURLY">#REF!</definedName>
    <definedName name="IKco_share">'[15]14 Funding'!$B$44:$O$44</definedName>
    <definedName name="Imp._material_E_230">#REF!</definedName>
    <definedName name="Imp._material_Including_freight">'[9]Input 5_CKD Type Calculation'!#REF!</definedName>
    <definedName name="impliceval">#REF!</definedName>
    <definedName name="Import_material_in_local_currency">'[9]Input 5_CKD Type Calculation'!#REF!</definedName>
    <definedName name="Import_value_E200__in_LE_inflated">#REF!</definedName>
    <definedName name="Import_value_in_LE_inflated">#REF!</definedName>
    <definedName name="Import_value_in_LE_inflated_E_230">#REF!</definedName>
    <definedName name="Import_value_in_LE_uninflated">#REF!</definedName>
    <definedName name="Imported_material_by_ABC">#REF!</definedName>
    <definedName name="Imported_material_from_Germany">#REF!</definedName>
    <definedName name="Importvalue_Aircon__Behr_delivery">'[9]Input 5_CKD Type Calculation'!#REF!</definedName>
    <definedName name="Importvalue_Battery">'[9]Input 5_CKD Type Calculation'!#REF!</definedName>
    <definedName name="Importvalue_Exhaust_system">'[9]Input 5_CKD Type Calculation'!#REF!</definedName>
    <definedName name="Importvalue_Fire_extinguisher">'[9]Input 5_CKD Type Calculation'!#REF!</definedName>
    <definedName name="Importvalue_Front_and_rear_axle__MBAG_delivery">'[9]Input 5_CKD Type Calculation'!#REF!</definedName>
    <definedName name="Importvalue_Glass">#REF!</definedName>
    <definedName name="Importvalue_Instrument_panel__MBAG_delivery">'[9]Input 5_CKD Type Calculation'!#REF!</definedName>
    <definedName name="Importvalue_Paint_material">#REF!</definedName>
    <definedName name="Importvalue_Radiator">'[9]Input 5_CKD Type Calculation'!#REF!</definedName>
    <definedName name="Importvalue_Radio_Exquisit">'[9]Input 5_CKD Type Calculation'!#REF!</definedName>
    <definedName name="Importvalue_Seats__MBAG_delivery">'[9]Input 5_CKD Type Calculation'!#REF!</definedName>
    <definedName name="Importvalue_Wire_harness">'[9]Input 5_CKD Type Calculation'!#REF!</definedName>
    <definedName name="ImportvalueE230_Aircon__Behr_delivery">#REF!</definedName>
    <definedName name="ImportvalueE230_Battery">#REF!</definedName>
    <definedName name="ImportvalueE230_Exhaust_system">#REF!</definedName>
    <definedName name="ImportvalueE230_Fire_extinguisher">#REF!</definedName>
    <definedName name="ImportvalueE230_Front_and_rear_axle__MBAG_delivery">#REF!</definedName>
    <definedName name="ImportvalueE230_Glass">#REF!</definedName>
    <definedName name="ImportvalueE230_Instrument_panel__MBAG_delivery">#REF!</definedName>
    <definedName name="ImportvalueE230_Paint_material">#REF!</definedName>
    <definedName name="ImportvalueE230_Radiator">#REF!</definedName>
    <definedName name="ImportvalueE230_Radio_Exquisit">#REF!</definedName>
    <definedName name="ImportvalueE230_Seats__MBAG_delivery">#REF!</definedName>
    <definedName name="ImportvalueE230_Wire_harness">#REF!</definedName>
    <definedName name="Inbound_LIKP_LIPS_TNR">#REF!</definedName>
    <definedName name="Income_Taxes">#REF!</definedName>
    <definedName name="Ind._labor_AK">'[15]Input 3_Workforce Production'!$B$15:$K$15</definedName>
    <definedName name="Ind._labor_workers">'[15]Input 3_Workforce Production'!$B$15:$K$15</definedName>
    <definedName name="Ind._labor_workers_E_230">#REF!</definedName>
    <definedName name="Ind._workers_E_200">#REF!</definedName>
    <definedName name="INDEX">#REF!</definedName>
    <definedName name="Indirect_labor___Net._Income___AK">#REF!</definedName>
    <definedName name="Indirect_labor___personal_Income___AK">#REF!</definedName>
    <definedName name="infl04other">[25]Overview!#REF!</definedName>
    <definedName name="Infl04wage">[25]Overview!#REF!</definedName>
    <definedName name="Infl05">[25]Overview!#REF!</definedName>
    <definedName name="infl05other">[25]Overview!#REF!</definedName>
    <definedName name="Infl05wage">[25]Overview!#REF!</definedName>
    <definedName name="Infl06">[25]Overview!#REF!</definedName>
    <definedName name="infl06other">[25]Overview!#REF!</definedName>
    <definedName name="Infl06wage">[25]Overview!#REF!</definedName>
    <definedName name="Infl07">[25]Overview!#REF!</definedName>
    <definedName name="infl07other">[25]Overview!#REF!</definedName>
    <definedName name="Infl07wage">[25]Overview!#REF!</definedName>
    <definedName name="Inflated_cif_value_in_DEM__customs_base">#REF!</definedName>
    <definedName name="Inflated_cif_value_in_DM_E_200__customs_base">#REF!</definedName>
    <definedName name="Inflated_cif_value_in_DM_E_230__customs_base">#REF!</definedName>
    <definedName name="Inflated_direct_material_costs_E_200">#REF!</definedName>
    <definedName name="Inflated_direct_material_costs_E_230">#REF!</definedName>
    <definedName name="Inflated_manufactur_costs">#REF!</definedName>
    <definedName name="Inflated_price">'[9]Input 1_Volume'!#REF!</definedName>
    <definedName name="Inflated_price_E230">'[9]Input 1_Volume'!#REF!</definedName>
    <definedName name="Inflated_Retail_price">#REF!</definedName>
    <definedName name="Inflated_wages_and_salaries">#REF!</definedName>
    <definedName name="Inflator">'[20]FAS 87 - SERP Results'!$C$30</definedName>
    <definedName name="insurval">#REF!</definedName>
    <definedName name="Internal_rate_of_return">#REF!</definedName>
    <definedName name="INTL_EMP">'[18]Employment Costs'!#REF!</definedName>
    <definedName name="INTL1">'[1]Timed Plan'!#REF!</definedName>
    <definedName name="Inventory">#REF!</definedName>
    <definedName name="Inventory__incl_CKD_Kits">#REF!</definedName>
    <definedName name="Inventory_Changes_Completed_cars">#REF!</definedName>
    <definedName name="Inventory_E_200__Stock__excl._receivables">#REF!</definedName>
    <definedName name="Inventory_of_vehicles">#REF!</definedName>
    <definedName name="Inventory_Stock_E_230__excl._receivables">#REF!</definedName>
    <definedName name="Invest_fixed_and_intangible_assets_in_Mio_IRR">'[8]8_Invest Production'!$B$71:$O$71</definedName>
    <definedName name="Investment">#REF!</definedName>
    <definedName name="IR">#REF!</definedName>
    <definedName name="irate">'[20]FAS 87 - SERP Results'!$C$31</definedName>
    <definedName name="IRR___EUR">'[17]0_Macro_oec'!$B$9:$O$9</definedName>
    <definedName name="IRR___US">'[17]0_Macro_oec'!$B$6:$O$6</definedName>
    <definedName name="Issued_capital">#REF!</definedName>
    <definedName name="Jahr">98</definedName>
    <definedName name="jjj">#REF!</definedName>
    <definedName name="jjjjjj">#REF!</definedName>
    <definedName name="Kalender">#REF!</definedName>
    <definedName name="Kalk_ASI_ANL_IEW">#REF!</definedName>
    <definedName name="Kalk_ASI_ANL_Ziel">#REF!</definedName>
    <definedName name="Kalk_ASI_AT_IEW">#REF!</definedName>
    <definedName name="Kalk_ASI_AT_Ziel">#REF!</definedName>
    <definedName name="Kalk_ASI_B_ANL_IEW">#REF!</definedName>
    <definedName name="Kalk_ASI_B_ANL_Ziel">#REF!</definedName>
    <definedName name="Kalk_ASI_B_AT_IEW">#REF!</definedName>
    <definedName name="Kalk_ASI_B_AT_Ziel">#REF!</definedName>
    <definedName name="Kalk_ASI_B_KFT_IEW">#REF!</definedName>
    <definedName name="Kalk_ASI_B_KFT_Ziel">#REF!</definedName>
    <definedName name="Kalk_ASI_B_KT_IEW">#REF!</definedName>
    <definedName name="Kalk_ASI_B_KT_Ziel">#REF!</definedName>
    <definedName name="Kalk_ASI_B_LEER_IEW">#REF!</definedName>
    <definedName name="Kalk_ASI_B_LEER_Ziel">#REF!</definedName>
    <definedName name="Kalk_ASI_B_LOG_IEW">#REF!</definedName>
    <definedName name="Kalk_ASI_B_LOG_Ziel">#REF!</definedName>
    <definedName name="Kalk_ASI_B_MO_IEW">#REF!</definedName>
    <definedName name="Kalk_ASI_B_MO_Ziel">#REF!</definedName>
    <definedName name="Kalk_ASI_B_NLS_IEW">#REF!</definedName>
    <definedName name="Kalk_ASI_B_NLS_Ziel">#REF!</definedName>
    <definedName name="Kalk_ASI_B_OF_IEW">#REF!</definedName>
    <definedName name="Kalk_ASI_B_OF_Ziel">#REF!</definedName>
    <definedName name="Kalk_ASI_B_Q_IEW">#REF!</definedName>
    <definedName name="Kalk_ASI_B_Q_Ziel">#REF!</definedName>
    <definedName name="Kalk_ASI_B_RB_IEW">#REF!</definedName>
    <definedName name="Kalk_ASI_B_RB_Ziel">#REF!</definedName>
    <definedName name="Kalk_ASI_B_S_IEW">#REF!</definedName>
    <definedName name="Kalk_ASI_B_S_Ziel">#REF!</definedName>
    <definedName name="Kalk_ASI_B_WLT_IEW">#REF!</definedName>
    <definedName name="Kalk_ASI_B_WLT_Ziel">#REF!</definedName>
    <definedName name="Kalk_ASI_KFT_IEW">#REF!</definedName>
    <definedName name="Kalk_ASI_KFT_Ziel">#REF!</definedName>
    <definedName name="Kalk_ASI_KT_IEW">#REF!</definedName>
    <definedName name="Kalk_ASI_KT_Ziel">#REF!</definedName>
    <definedName name="Kalk_ASI_LEER_IEW">#REF!</definedName>
    <definedName name="Kalk_ASI_LEER_Ziel">#REF!</definedName>
    <definedName name="Kalk_ASI_LOG_IEW">#REF!</definedName>
    <definedName name="Kalk_ASI_LOG_Ziel">#REF!</definedName>
    <definedName name="Kalk_ASI_MO_IEW">#REF!</definedName>
    <definedName name="Kalk_ASI_MO_Ziel">#REF!</definedName>
    <definedName name="Kalk_ASI_NLS_IEW">#REF!</definedName>
    <definedName name="Kalk_ASI_NLS_Ziel">#REF!</definedName>
    <definedName name="Kalk_ASI_OF_IEW">#REF!</definedName>
    <definedName name="Kalk_ASI_OF_Ziel">#REF!</definedName>
    <definedName name="Kalk_ASI_Q_IEW">#REF!</definedName>
    <definedName name="Kalk_ASI_Q_Ziel">#REF!</definedName>
    <definedName name="Kalk_ASI_RB_IEW">#REF!</definedName>
    <definedName name="Kalk_ASI_RB_Ziel">#REF!</definedName>
    <definedName name="Kalk_ASI_S_IEW">#REF!</definedName>
    <definedName name="Kalk_ASI_S_Ziel">#REF!</definedName>
    <definedName name="Kalk_ASI_WLT_IEW">#REF!</definedName>
    <definedName name="Kalk_ASI_WLT_Ziel">#REF!</definedName>
    <definedName name="Kalk_EEK_ANL_IEW">#REF!</definedName>
    <definedName name="Kalk_EEK_ANL_Ziel">#REF!</definedName>
    <definedName name="Kalk_EEK_AT_IEW">#REF!</definedName>
    <definedName name="Kalk_EEK_AT_Ziel">#REF!</definedName>
    <definedName name="Kalk_EEK_KFT_IEW">#REF!</definedName>
    <definedName name="Kalk_EEK_KFT_Ziel">#REF!</definedName>
    <definedName name="Kalk_EEK_KT_IEW">#REF!</definedName>
    <definedName name="Kalk_EEK_KT_Ziel">#REF!</definedName>
    <definedName name="Kalk_EEK_LEER_IEW">#REF!</definedName>
    <definedName name="Kalk_EEK_LEER_Ziel">#REF!</definedName>
    <definedName name="Kalk_EEK_LOG_IEW">#REF!</definedName>
    <definedName name="Kalk_EEK_LOG_Ziel">#REF!</definedName>
    <definedName name="Kalk_EEK_MO_IEW">#REF!</definedName>
    <definedName name="Kalk_EEK_MO_Ziel">#REF!</definedName>
    <definedName name="Kalk_EEK_NLS_IEW">#REF!</definedName>
    <definedName name="Kalk_EEK_NLS_Ziel">#REF!</definedName>
    <definedName name="Kalk_EEK_OF_IEW">#REF!</definedName>
    <definedName name="Kalk_EEK_OF_Ziel">#REF!</definedName>
    <definedName name="Kalk_EEK_Q_IEW">#REF!</definedName>
    <definedName name="Kalk_EEK_Q_Ziel">#REF!</definedName>
    <definedName name="Kalk_EEK_RB_IEW">#REF!</definedName>
    <definedName name="Kalk_EEK_RB_Ziel">#REF!</definedName>
    <definedName name="Kalk_EEK_S_IEW">#REF!</definedName>
    <definedName name="Kalk_EEK_S_Ziel">#REF!</definedName>
    <definedName name="Kalk_EEK_WLT_IEW">#REF!</definedName>
    <definedName name="Kalk_EEK_WLT_Ziel">#REF!</definedName>
    <definedName name="Kalk_GWG_ANL_IEW">#REF!</definedName>
    <definedName name="Kalk_GWG_ANL_Ziel">#REF!</definedName>
    <definedName name="Kalk_GWG_AT_IEW">#REF!</definedName>
    <definedName name="Kalk_GWG_AT_Ziel">#REF!</definedName>
    <definedName name="Kalk_GWG_KFT_IEW">#REF!</definedName>
    <definedName name="Kalk_GWG_KFT_Ziel">#REF!</definedName>
    <definedName name="Kalk_GWG_KT_IEW">#REF!</definedName>
    <definedName name="Kalk_GWG_KT_Ziel">#REF!</definedName>
    <definedName name="Kalk_GWG_LEER_IEW">#REF!</definedName>
    <definedName name="Kalk_GWG_LEER_Ziel">#REF!</definedName>
    <definedName name="Kalk_GWG_LOG_IEW">#REF!</definedName>
    <definedName name="Kalk_GWG_LOG_Ziel">#REF!</definedName>
    <definedName name="Kalk_GWG_MO_IEW">#REF!</definedName>
    <definedName name="Kalk_GWG_MO_Ziel">#REF!</definedName>
    <definedName name="Kalk_GWG_NLS_IEW">#REF!</definedName>
    <definedName name="Kalk_GWG_NLS_Ziel">#REF!</definedName>
    <definedName name="Kalk_GWG_OF_IEW">#REF!</definedName>
    <definedName name="Kalk_GWG_OF_Ziel">#REF!</definedName>
    <definedName name="Kalk_GWG_Q_IEW">#REF!</definedName>
    <definedName name="Kalk_GWG_Q_Ziel">#REF!</definedName>
    <definedName name="Kalk_GWG_RB_IEW">#REF!</definedName>
    <definedName name="Kalk_GWG_RB_Ziel">#REF!</definedName>
    <definedName name="Kalk_GWG_S_IEW">#REF!</definedName>
    <definedName name="Kalk_GWG_S_Ziel">#REF!</definedName>
    <definedName name="Kalk_GWG_WLT_IEW">#REF!</definedName>
    <definedName name="Kalk_GWG_WLT_Ziel">#REF!</definedName>
    <definedName name="Kalk_LEK_ANL_IEW">#REF!</definedName>
    <definedName name="Kalk_LEK_ANL_Ziel">#REF!</definedName>
    <definedName name="Kalk_LEK_AT_IEW">#REF!</definedName>
    <definedName name="Kalk_LEK_AT_Ziel">#REF!</definedName>
    <definedName name="Kalk_LEK_KFT_IEW">#REF!</definedName>
    <definedName name="Kalk_LEK_KFT_Ziel">#REF!</definedName>
    <definedName name="Kalk_LEK_KT_IEW">#REF!</definedName>
    <definedName name="Kalk_LEK_KT_Ziel">#REF!</definedName>
    <definedName name="Kalk_LEK_LEER_IEW">#REF!</definedName>
    <definedName name="Kalk_LEK_LEER_Ziel">#REF!</definedName>
    <definedName name="Kalk_LEK_LOG_IEW">#REF!</definedName>
    <definedName name="Kalk_LEK_LOG_Ziel">#REF!</definedName>
    <definedName name="Kalk_LEK_MO_IEW">#REF!</definedName>
    <definedName name="Kalk_LEK_MO_Ziel">#REF!</definedName>
    <definedName name="Kalk_LEK_NLS_IEW">#REF!</definedName>
    <definedName name="Kalk_LEK_NLS_Ziel">#REF!</definedName>
    <definedName name="Kalk_LEK_OF_IEW">#REF!</definedName>
    <definedName name="Kalk_LEK_OF_Ziel">#REF!</definedName>
    <definedName name="Kalk_LEK_Q_IEW">#REF!</definedName>
    <definedName name="Kalk_LEK_Q_Ziel">#REF!</definedName>
    <definedName name="Kalk_LEK_RB_IEW">#REF!</definedName>
    <definedName name="Kalk_LEK_RB_Ziel">#REF!</definedName>
    <definedName name="Kalk_LEK_S_IEW">#REF!</definedName>
    <definedName name="Kalk_LEK_S_Ziel">#REF!</definedName>
    <definedName name="Kalk_LEK_WLT_IEW">#REF!</definedName>
    <definedName name="Kalk_LEK_WLT_Ziel">#REF!</definedName>
    <definedName name="Kalk_MMK_ANL_IEW">#REF!</definedName>
    <definedName name="Kalk_MMK_ANL_Ziel">#REF!</definedName>
    <definedName name="Kalk_MMK_AT_IEW">#REF!</definedName>
    <definedName name="Kalk_MMK_AT_Ziel">#REF!</definedName>
    <definedName name="Kalk_MMK_KFT_IEW">#REF!</definedName>
    <definedName name="Kalk_MMK_KFT_Ziel">#REF!</definedName>
    <definedName name="Kalk_MMK_KT_IEW">#REF!</definedName>
    <definedName name="Kalk_MMK_KT_Ziel">#REF!</definedName>
    <definedName name="Kalk_MMK_LEER_IEW">#REF!</definedName>
    <definedName name="Kalk_MMK_LEER_Ziel">#REF!</definedName>
    <definedName name="Kalk_MMK_LOG_IEW">#REF!</definedName>
    <definedName name="Kalk_MMK_LOG_Ziel">#REF!</definedName>
    <definedName name="Kalk_MMK_MO_IEW">#REF!</definedName>
    <definedName name="Kalk_MMK_MO_Ziel">#REF!</definedName>
    <definedName name="Kalk_MMK_NLS_IEW">#REF!</definedName>
    <definedName name="Kalk_MMK_NLS_Ziel">#REF!</definedName>
    <definedName name="Kalk_MMK_OF_IEW">#REF!</definedName>
    <definedName name="Kalk_MMK_OF_Ziel">#REF!</definedName>
    <definedName name="Kalk_MMK_Q_IEW">#REF!</definedName>
    <definedName name="Kalk_MMK_Q_Ziel">#REF!</definedName>
    <definedName name="Kalk_MMK_RB_IEW">#REF!</definedName>
    <definedName name="Kalk_MMK_RB_Ziel">#REF!</definedName>
    <definedName name="Kalk_MMK_S_IEW">#REF!</definedName>
    <definedName name="Kalk_MMK_S_Ziel">#REF!</definedName>
    <definedName name="Kalk_MMK_WLT_IEW">#REF!</definedName>
    <definedName name="Kalk_MMK_WLT_Ziel">#REF!</definedName>
    <definedName name="Kalk_PMK_ANL_IEW">#REF!</definedName>
    <definedName name="Kalk_PMK_ANL_Ziel">#REF!</definedName>
    <definedName name="Kalk_PMK_AT_IEW">#REF!</definedName>
    <definedName name="Kalk_PMK_AT_Ziel">#REF!</definedName>
    <definedName name="Kalk_PMK_KFT_IEW">#REF!</definedName>
    <definedName name="Kalk_PMK_KFT_Ziel">#REF!</definedName>
    <definedName name="Kalk_PMK_KT_IEW">#REF!</definedName>
    <definedName name="Kalk_PMK_KT_Ziel">#REF!</definedName>
    <definedName name="Kalk_PMK_LEER_IEW">#REF!</definedName>
    <definedName name="Kalk_PMK_LEER_Ziel">#REF!</definedName>
    <definedName name="Kalk_PMK_LOG_IEW">#REF!</definedName>
    <definedName name="Kalk_PMK_LOG_Ziel">#REF!</definedName>
    <definedName name="Kalk_PMK_MO_IEW">#REF!</definedName>
    <definedName name="Kalk_PMK_MO_Ziel">#REF!</definedName>
    <definedName name="Kalk_PMK_NLS_IEW">#REF!</definedName>
    <definedName name="Kalk_PMK_NLS_Ziel">#REF!</definedName>
    <definedName name="Kalk_PMK_OF_IEW">#REF!</definedName>
    <definedName name="Kalk_PMK_OF_Ziel">#REF!</definedName>
    <definedName name="Kalk_PMK_Q_IEW">#REF!</definedName>
    <definedName name="Kalk_PMK_Q_Ziel">#REF!</definedName>
    <definedName name="Kalk_PMK_RB_IEW">#REF!</definedName>
    <definedName name="Kalk_PMK_RB_Ziel">#REF!</definedName>
    <definedName name="Kalk_PMK_S_IEW">#REF!</definedName>
    <definedName name="Kalk_PMK_S_Ziel">#REF!</definedName>
    <definedName name="Kalk_PMK_WLT_IEW">#REF!</definedName>
    <definedName name="Kalk_PMK_WLT_Ziel">#REF!</definedName>
    <definedName name="Kalk_TGK_ANL_IEW">#REF!</definedName>
    <definedName name="Kalk_TGK_ANL_Ziel">#REF!</definedName>
    <definedName name="Kalk_TGK_AT_IEW">#REF!</definedName>
    <definedName name="Kalk_TGK_AT_Ziel">#REF!</definedName>
    <definedName name="Kalk_TGK_KFT_IEW">#REF!</definedName>
    <definedName name="Kalk_TGK_KFT_Ziel">#REF!</definedName>
    <definedName name="Kalk_TGK_KT_IEW">#REF!</definedName>
    <definedName name="Kalk_TGK_KT_Ziel">#REF!</definedName>
    <definedName name="Kalk_TGK_LEER_IEW">#REF!</definedName>
    <definedName name="Kalk_TGK_LEER_Ziel">#REF!</definedName>
    <definedName name="Kalk_TGK_LOG_IEW">#REF!</definedName>
    <definedName name="Kalk_TGK_LOG_ZIel">#REF!</definedName>
    <definedName name="Kalk_TGK_MO_IEW">#REF!</definedName>
    <definedName name="Kalk_TGK_MO_Ziel">#REF!</definedName>
    <definedName name="Kalk_TGK_NLS_IEW">#REF!</definedName>
    <definedName name="Kalk_TGK_NLS_Ziel">#REF!</definedName>
    <definedName name="Kalk_TGK_OF_IEW">#REF!</definedName>
    <definedName name="Kalk_TGK_OF_Ziel">#REF!</definedName>
    <definedName name="Kalk_TGK_Q_IEW">#REF!</definedName>
    <definedName name="Kalk_TGK_Q_Ziel">#REF!</definedName>
    <definedName name="Kalk_TGK_RB_IEW">#REF!</definedName>
    <definedName name="Kalk_TGK_RB_Ziel">#REF!</definedName>
    <definedName name="Kalk_TGK_S_IEW">#REF!</definedName>
    <definedName name="Kalk_TGK_S_Ziel">#REF!</definedName>
    <definedName name="Kalk_TGK_WLT_IEW">#REF!</definedName>
    <definedName name="Kalk_TGK_WLT_Ziel">#REF!</definedName>
    <definedName name="Kalk_UMST_ANL_IEW">#REF!</definedName>
    <definedName name="Kalk_UMST_ANL_Ziel">#REF!</definedName>
    <definedName name="Kalk_UMST_AT_IEW">#REF!</definedName>
    <definedName name="Kalk_UMST_AT_Ziel">#REF!</definedName>
    <definedName name="Kalk_UMST_KFT_IEW">#REF!</definedName>
    <definedName name="Kalk_UMST_KFT_Ziel">#REF!</definedName>
    <definedName name="Kalk_UMST_KT_IEW">#REF!</definedName>
    <definedName name="Kalk_UMST_KT_Ziel">#REF!</definedName>
    <definedName name="Kalk_UMST_LEER_IEW">#REF!</definedName>
    <definedName name="Kalk_UMST_LEER_Ziel">#REF!</definedName>
    <definedName name="Kalk_UMST_LOG_IEW">#REF!</definedName>
    <definedName name="Kalk_UMST_LOG_Ziel">#REF!</definedName>
    <definedName name="Kalk_UMST_MO_IEW">#REF!</definedName>
    <definedName name="Kalk_UMST_MO_Ziel">#REF!</definedName>
    <definedName name="Kalk_UMST_NLS_IEW">#REF!</definedName>
    <definedName name="Kalk_UMST_NLS_Ziel">#REF!</definedName>
    <definedName name="Kalk_UMST_OF_IEW">#REF!</definedName>
    <definedName name="Kalk_UMST_OF_Ziel">#REF!</definedName>
    <definedName name="Kalk_UMST_Q_IEW">#REF!</definedName>
    <definedName name="Kalk_UMST_Q_Ziel">#REF!</definedName>
    <definedName name="Kalk_UMST_RB_IEW">#REF!</definedName>
    <definedName name="Kalk_UMST_RB_Ziel">#REF!</definedName>
    <definedName name="Kalk_UMST_S_IEW">#REF!</definedName>
    <definedName name="Kalk_UMST_S_Ziel">#REF!</definedName>
    <definedName name="Kalk_UMST_WLT_IEW">#REF!</definedName>
    <definedName name="Kalk_UMST_WLT_Ziel">#REF!</definedName>
    <definedName name="Kalk_WZAE_WZK_ANL_IEW">#REF!</definedName>
    <definedName name="Kalk_WZAE_WZK_ANL_Ziel">#REF!</definedName>
    <definedName name="Kalk_WZAE_WZK_AT_IEW">#REF!</definedName>
    <definedName name="Kalk_WZAE_WZK_AT_Ziel">#REF!</definedName>
    <definedName name="Kalk_WZAE_WZK_KFT_IEW">#REF!</definedName>
    <definedName name="Kalk_WZAE_WZK_KFT_Ziel">#REF!</definedName>
    <definedName name="Kalk_WZAE_WZK_KT_IEW">#REF!</definedName>
    <definedName name="Kalk_WZAE_WZK_KT_Ziel">#REF!</definedName>
    <definedName name="Kalk_WZAE_WZK_LEER_IEW">#REF!</definedName>
    <definedName name="Kalk_WZAE_WZK_LEER_Ziel">#REF!</definedName>
    <definedName name="Kalk_WZAE_WZK_LOG_IEW">#REF!</definedName>
    <definedName name="Kalk_WZAE_WZK_LOG_Ziel">#REF!</definedName>
    <definedName name="Kalk_WZAE_WZK_MO_IEW">#REF!</definedName>
    <definedName name="Kalk_WZAE_WZK_MO_Ziel">#REF!</definedName>
    <definedName name="Kalk_WZAE_WZK_NLS_IEW">#REF!</definedName>
    <definedName name="Kalk_WZAE_WZK_NLS_Ziel">#REF!</definedName>
    <definedName name="Kalk_WZAE_WZK_OF_IEW">#REF!</definedName>
    <definedName name="Kalk_WZAE_WZK_OF_Ziel">#REF!</definedName>
    <definedName name="Kalk_WZAE_WZK_Q_IEW">#REF!</definedName>
    <definedName name="Kalk_WZAE_WZK_Q_Ziel">#REF!</definedName>
    <definedName name="Kalk_WZAE_WZK_RB_IEW">#REF!</definedName>
    <definedName name="Kalk_WZAE_WZK_RB_Ziel">#REF!</definedName>
    <definedName name="Kalk_WZAE_WZK_S_IEW">#REF!</definedName>
    <definedName name="Kalk_WZAE_WZK_S_Ziel">#REF!</definedName>
    <definedName name="Kalk_WZAE_WZK_WLT_IEW">#REF!</definedName>
    <definedName name="Kalk_WZAE_WZK_WLT_Ziel">#REF!</definedName>
    <definedName name="Kalk_WZAE_WZL_ANL_IEW">#REF!</definedName>
    <definedName name="Kalk_WZAE_WZL_ANL_Ziel">#REF!</definedName>
    <definedName name="Kalk_WZAE_WZL_AT_IEW">#REF!</definedName>
    <definedName name="Kalk_WZAE_WZL_AT_Ziel">#REF!</definedName>
    <definedName name="Kalk_WZAE_WZL_KFT_IEW">#REF!</definedName>
    <definedName name="Kalk_WZAE_WZL_KFT_Ziel">#REF!</definedName>
    <definedName name="Kalk_WZAE_WZL_KT_IEW">#REF!</definedName>
    <definedName name="Kalk_WZAE_WZL_KT_Ziel">#REF!</definedName>
    <definedName name="Kalk_WZAE_WZL_LEER_IEW">#REF!</definedName>
    <definedName name="Kalk_WZAE_WZL_LEER_Ziel">#REF!</definedName>
    <definedName name="Kalk_WZAE_WZL_LOG_IEW">#REF!</definedName>
    <definedName name="Kalk_WZAE_WZL_LOG_Ziel">#REF!</definedName>
    <definedName name="Kalk_WZAE_WZL_MO_IEW">#REF!</definedName>
    <definedName name="Kalk_WZAE_WZL_MO_Ziel">#REF!</definedName>
    <definedName name="Kalk_WZAE_WZL_NLS_IEW">#REF!</definedName>
    <definedName name="Kalk_WZAE_WZL_NLS_Ziel">#REF!</definedName>
    <definedName name="Kalk_WZAE_WZL_OF_IEW">#REF!</definedName>
    <definedName name="Kalk_WZAE_WZL_OF_Ziel">#REF!</definedName>
    <definedName name="Kalk_WZAE_WZL_Q_IEW">#REF!</definedName>
    <definedName name="Kalk_WZAE_WZL_Q_Ziel">#REF!</definedName>
    <definedName name="Kalk_WZAE_WZL_RB_IEW">#REF!</definedName>
    <definedName name="Kalk_WZAE_WZL_RB_Ziel">#REF!</definedName>
    <definedName name="Kalk_WZAE_WZL_S_IEW">#REF!</definedName>
    <definedName name="Kalk_WZAE_WZL_S_Ziel">#REF!</definedName>
    <definedName name="Kalk_WZAE_WZL_WLT_IEW">#REF!</definedName>
    <definedName name="Kalk_WZAE_WZL_WLT_Ziel">#REF!</definedName>
    <definedName name="Kalk_WZK_ANL_IEW">#REF!</definedName>
    <definedName name="Kalk_WZK_ANL_Ziel">#REF!</definedName>
    <definedName name="Kalk_WZK_AT_IEW">#REF!</definedName>
    <definedName name="Kalk_WZK_AT_Ziel">#REF!</definedName>
    <definedName name="Kalk_WZK_KFT_IEW">#REF!</definedName>
    <definedName name="Kalk_WZK_KFT_Ziel">#REF!</definedName>
    <definedName name="Kalk_WZK_KT_IEW">#REF!</definedName>
    <definedName name="Kalk_WZK_KT_Ziel">#REF!</definedName>
    <definedName name="Kalk_WZK_LEER_IEW">#REF!</definedName>
    <definedName name="Kalk_WZK_LEER_Ziel">#REF!</definedName>
    <definedName name="Kalk_WZK_LOG_IEW">#REF!</definedName>
    <definedName name="Kalk_WZK_LOG_Ziel">#REF!</definedName>
    <definedName name="Kalk_WZK_MO_IEW">#REF!</definedName>
    <definedName name="Kalk_WZK_MO_Ziel">#REF!</definedName>
    <definedName name="Kalk_WZK_NLS_IEW">#REF!</definedName>
    <definedName name="Kalk_WZK_NLS_Ziel">#REF!</definedName>
    <definedName name="Kalk_WZK_OF_IEW">#REF!</definedName>
    <definedName name="Kalk_WZK_OF_Ziel">#REF!</definedName>
    <definedName name="Kalk_WZK_Q_IEW">#REF!</definedName>
    <definedName name="Kalk_WZK_Q_Ziel">#REF!</definedName>
    <definedName name="Kalk_WZK_RB_IEW">#REF!</definedName>
    <definedName name="Kalk_WZK_RB_Ziel">#REF!</definedName>
    <definedName name="Kalk_WZK_S_IEW">#REF!</definedName>
    <definedName name="Kalk_WZK_S_Ziel">#REF!</definedName>
    <definedName name="Kalk_WZK_WLT_IEW">#REF!</definedName>
    <definedName name="Kalk_WZK_WLT_Ziel">#REF!</definedName>
    <definedName name="Kalk_WZL_ANL_IEW">#REF!</definedName>
    <definedName name="Kalk_WZL_ANL_Ziel">#REF!</definedName>
    <definedName name="Kalk_WZL_AT_IEW">#REF!</definedName>
    <definedName name="Kalk_WZL_AT_Ziel">#REF!</definedName>
    <definedName name="Kalk_WZL_KFT_IEW">#REF!</definedName>
    <definedName name="Kalk_WZL_KFT_Ziel">#REF!</definedName>
    <definedName name="Kalk_WZL_KT_IEW">#REF!</definedName>
    <definedName name="Kalk_WZL_KT_Ziel">#REF!</definedName>
    <definedName name="Kalk_WZL_LEER_IEW">#REF!</definedName>
    <definedName name="Kalk_WZL_LEER_Ziel">#REF!</definedName>
    <definedName name="Kalk_WZL_LOG_IEW">#REF!</definedName>
    <definedName name="Kalk_WZL_LOG_Ziel">#REF!</definedName>
    <definedName name="Kalk_WZL_MO_IEW">#REF!</definedName>
    <definedName name="Kalk_WZL_MO_Ziel">#REF!</definedName>
    <definedName name="Kalk_WZL_NLS_IEW">#REF!</definedName>
    <definedName name="Kalk_WZL_NLS_Ziel">#REF!</definedName>
    <definedName name="Kalk_WZL_OF_IEW">#REF!</definedName>
    <definedName name="Kalk_WZL_OF_Ziel">#REF!</definedName>
    <definedName name="Kalk_WZL_Q_IEW">#REF!</definedName>
    <definedName name="Kalk_WZL_Q_Ziel">#REF!</definedName>
    <definedName name="Kalk_WZL_RB_IEW">#REF!</definedName>
    <definedName name="Kalk_WZL_RB_Ziel">#REF!</definedName>
    <definedName name="Kalk_WZL_S_IEW">#REF!</definedName>
    <definedName name="Kalk_WZL_S_Ziel">#REF!</definedName>
    <definedName name="Kalk_WZL_WLT_IEW">#REF!</definedName>
    <definedName name="Kalk_WZL_WLT_Ziel">#REF!</definedName>
    <definedName name="Kalwochen">#REF!,#REF!,#REF!,#REF!,#REF!,#REF!,#REF!,#REF!,#REF!,#REF!,#REF!,#REF!,#REF!,#REF!,#REF!,#REF!,#REF!,#REF!,#REF!,#REF!,#REF!,#REF!,#REF!,#REF!,#REF!,#REF!,#REF!,#REF!,#REF!,#REF!,#REF!,#REF!,#REF!,#REF!,#REF!,#REF!,#REF!,#REF!</definedName>
    <definedName name="kl.">#REF!</definedName>
    <definedName name="kopf">#REF!</definedName>
    <definedName name="kopf1">[4]Erg_rechnung!#REF!</definedName>
    <definedName name="kopf11">#REF!</definedName>
    <definedName name="kopf3">[4]Erg_rechnung!#REF!</definedName>
    <definedName name="kopf4">#REF!</definedName>
    <definedName name="Kosten_AK_Ang">#REF!</definedName>
    <definedName name="Kosten_AK_Ang_Ziel">#REF!</definedName>
    <definedName name="Kosten_AK_Dir">#REF!</definedName>
    <definedName name="Kosten_AK_Dir_Ziel">#REF!</definedName>
    <definedName name="Kosten_AK_Ind">#REF!</definedName>
    <definedName name="Kosten_AK_Ind_Ziel">#REF!</definedName>
    <definedName name="Kosten_ANL_RATE">#REF!</definedName>
    <definedName name="Kosten_ANL_RATE_Ziel">#REF!</definedName>
    <definedName name="Kosten_ASI">#REF!</definedName>
    <definedName name="Kosten_ASI_B">#REF!</definedName>
    <definedName name="Kosten_ASI_UML">#REF!</definedName>
    <definedName name="Kosten_ASI_UML_Ziel">#REF!</definedName>
    <definedName name="Kosten_EEK">#REF!</definedName>
    <definedName name="Kosten_EEK_Ziel">#REF!</definedName>
    <definedName name="Kosten_FEK_Rate">#REF!</definedName>
    <definedName name="Kosten_FEK_Rate_Ziel">#REF!</definedName>
    <definedName name="Kosten_FM_NETTO_FZG">#REF!</definedName>
    <definedName name="Kosten_FM_NETTO_FZG_Ziel">#REF!</definedName>
    <definedName name="Kosten_GUK_Rate">#REF!</definedName>
    <definedName name="Kosten_GUK_Rate_Ziel">#REF!</definedName>
    <definedName name="Kosten_GWG">#REF!</definedName>
    <definedName name="Kosten_LEK">#REF!</definedName>
    <definedName name="Kosten_LEK_RATE">#REF!</definedName>
    <definedName name="Kosten_LEK_RATE_Ziel">#REF!</definedName>
    <definedName name="Kosten_LEK_Ziel">#REF!</definedName>
    <definedName name="Kosten_LOG_FM_FZG">#REF!</definedName>
    <definedName name="Kosten_LOG_FM_FZG_Ziel">#REF!</definedName>
    <definedName name="Kosten_MGK_RATE">#REF!</definedName>
    <definedName name="Kosten_MGK_RATE_Ziel">#REF!</definedName>
    <definedName name="Kosten_MMK">#REF!</definedName>
    <definedName name="Kosten_PK_SGK">#REF!</definedName>
    <definedName name="Kosten_PK_SGK_Ziel">#REF!</definedName>
    <definedName name="Kosten_PMK">#REF!</definedName>
    <definedName name="Kosten_SGK">#REF!</definedName>
    <definedName name="Kosten_SGK_Ziel">#REF!</definedName>
    <definedName name="Kosten_TE">#REF!</definedName>
    <definedName name="Kosten_TE_ziel">#REF!</definedName>
    <definedName name="Kosten_Teile">#REF!</definedName>
    <definedName name="Kosten_Teile_Ziel">#REF!</definedName>
    <definedName name="Kosten_TGK">#REF!</definedName>
    <definedName name="Kosten_UMST">#REF!</definedName>
    <definedName name="Kosten_WZAE_WZK">#REF!</definedName>
    <definedName name="Kosten_WZAE_WZK_Rate">#REF!</definedName>
    <definedName name="Kosten_WZAE_WZK_Rate_Ziel">#REF!</definedName>
    <definedName name="Kosten_WZAE_WZL">#REF!</definedName>
    <definedName name="Kosten_WZAE_WZL_Rate">#REF!</definedName>
    <definedName name="Kosten_WZAE_WZL_Rate_Ziel">#REF!</definedName>
    <definedName name="Kosten_WZK">#REF!</definedName>
    <definedName name="Kosten_WZK_RATE">#REF!</definedName>
    <definedName name="Kosten_WZK_RATE_Ziel">#REF!</definedName>
    <definedName name="Kosten_WZL">#REF!</definedName>
    <definedName name="Kosten_WZL_RATE">#REF!</definedName>
    <definedName name="Kosten_WZL_RATE_Ziel">#REF!</definedName>
    <definedName name="KR___Pl_Pl">#REF!</definedName>
    <definedName name="l">#REF!</definedName>
    <definedName name="l.">#REF!</definedName>
    <definedName name="Land">#REF!</definedName>
    <definedName name="LC_Hannover">'[16]LC Hannover'!#REF!</definedName>
    <definedName name="LC_Köln">'[16]LC Hannover'!#REF!</definedName>
    <definedName name="LC_Mainz">'[16]LC Hannover'!#REF!</definedName>
    <definedName name="LC_Nürnberg">'[16]LC Hannover'!#REF!</definedName>
    <definedName name="LC_Reutlingen">'[16]LC Hannover'!#REF!</definedName>
    <definedName name="Level_1_Management__direct">#REF!</definedName>
    <definedName name="Level_1_Management__socials">#REF!</definedName>
    <definedName name="Level_1_Management__without_expats">'[15]Input 3_Workforce Production'!$B$19:$K$19</definedName>
    <definedName name="Level_2_Management__direct">#REF!</definedName>
    <definedName name="Level_2_Management__socials">#REF!</definedName>
    <definedName name="Level_2_Management__without_expats">'[15]Input 3_Workforce Production'!$B$20:$K$20</definedName>
    <definedName name="Level_3_Management__direct">#REF!</definedName>
    <definedName name="Level_3_Management__socials">#REF!</definedName>
    <definedName name="Level_3_Management__without_expats">'[15]Input 3_Workforce Production'!$B$21:$K$21</definedName>
    <definedName name="Level_4_Management">#REF!</definedName>
    <definedName name="Level_4_Management__socials">#REF!</definedName>
    <definedName name="Level_4_Management__without_expats">'[15]Input 3_Workforce Production'!$B$22:$K$22</definedName>
    <definedName name="Li">#REF!</definedName>
    <definedName name="lin">MID(CELL([0]!File),FIND("C60",CELL([0]!File))-2,5)&amp;"a-"</definedName>
    <definedName name="lina">#N/A</definedName>
    <definedName name="Liquid_funds">#REF!</definedName>
    <definedName name="Liquid_funds__cash___bank_balance">#REF!</definedName>
    <definedName name="Liquid_funds_retail">'[13]10b_Working_cap_Ret'!$B$82:$O$82</definedName>
    <definedName name="Liquid_funds_wholesale">'[13]10a_Working_cap_WS'!$B$82:$O$82</definedName>
    <definedName name="Liquidation_value">#REF!</definedName>
    <definedName name="Liquids_at_end_of_the_year">#REF!</definedName>
    <definedName name="Liquids_for_investment">#REF!</definedName>
    <definedName name="Liste_AP">#REF!</definedName>
    <definedName name="Liste_FEK_Rate_IEW">[29]Beschlussliste!#REF!</definedName>
    <definedName name="Liste_FEK_Rate_Ziel">[29]Beschlussliste!#REF!</definedName>
    <definedName name="Liste_MonatJahr">#REF!</definedName>
    <definedName name="Liste_Projekt">#REF!</definedName>
    <definedName name="Liste_SNr">[29]Beschlussliste!#REF!</definedName>
    <definedName name="Liste_Werk">#REF!</definedName>
    <definedName name="lk.">#REF!</definedName>
    <definedName name="llcdm">#REF!</definedName>
    <definedName name="llcnc">#REF!</definedName>
    <definedName name="Loans___total">'[15]14 Funding'!$B$55:$O$55</definedName>
    <definedName name="Loans__total_Volume">#REF!</definedName>
    <definedName name="Loans_in_EGP">#REF!</definedName>
    <definedName name="Loans_in_EGP__total">#REF!</definedName>
    <definedName name="Local_added_value_for_parts">#REF!</definedName>
    <definedName name="Local_added_value_for_parts__percentage">#REF!</definedName>
    <definedName name="Local_content">#REF!</definedName>
    <definedName name="Local_content_E_200_K_CKD">'[17]6_CKD  E200K'!$B$115:$O$115</definedName>
    <definedName name="Local_content_E_200_K_SKD">'[17]6_SKD  E200K'!$B$115:$O$115</definedName>
    <definedName name="Local_content_E_300_CKD">'[17]6_CKD  E300'!$B$115:$O$115</definedName>
    <definedName name="Local_content_E_320_CKD">'[17]6_CKD  E320'!$B$115:$O$115</definedName>
    <definedName name="Local_content_E_320_SKD">'[17]6_SKD  E320'!$B$115:$O$115</definedName>
    <definedName name="Local_content_from_ENP__percentage">'[9]Input 5_CKD Type Calculation'!#REF!</definedName>
    <definedName name="Local_content_S_350_L_SKD">'[17]6_SKD  S350L'!$B$115:$O$115</definedName>
    <definedName name="Local_material__imported">'[9]Input 5_CKD Type Calculation'!#REF!</definedName>
    <definedName name="Long_term_loans_current_value">#REF!</definedName>
    <definedName name="Long_term_loans_current_value__LC">'[15]14 Funding'!$B$46:$O$46</definedName>
    <definedName name="LOOP">#REF!</definedName>
    <definedName name="Lump_sum">'[9]Input 7_Overhead'!#REF!</definedName>
    <definedName name="LUMPSUM_TE__Capital_in_Kind">'[9]Input 7_Overhead'!#REF!</definedName>
    <definedName name="LUMPSUM_TE_TA__Capital_in_Kind">'[9]Input 7_Overhead'!#REF!</definedName>
    <definedName name="LUMPSUM_TE_TA_in_Kind">'[9]Input 7_Overhead'!#REF!</definedName>
    <definedName name="M">#REF!</definedName>
    <definedName name="Machines_and_other_equipment">#REF!</definedName>
    <definedName name="MACHINING">[3]Manufacturing!#REF!</definedName>
    <definedName name="MACHINING__2_CYCLE_105_109_111_133_154_155_159_163_169_185_194_196_197_501_521_523_525_555_574">#REF!</definedName>
    <definedName name="MACHINING__4_CYCLE_136_191_522_561">#REF!</definedName>
    <definedName name="MACHINING__MIXED_2_CYCLE_101_110_137_156_161_166_181_188_192_193_570_571">#REF!</definedName>
    <definedName name="MAINSCRP">#REF!</definedName>
    <definedName name="MAINTENANCE__EXCLUDING_DIRECT_SERIES_60">[3]Manufacturing!#REF!</definedName>
    <definedName name="MALE">#REF!</definedName>
    <definedName name="MANPOWER">#REF!</definedName>
    <definedName name="MAR_EXP">#REF!</definedName>
    <definedName name="Margin_for_NATCO_services__wholesale">#REF!</definedName>
    <definedName name="MATERIAL__2__CYCLE_DEDICATED_961_963_969_975_977_984_997">#REF!</definedName>
    <definedName name="MATERIAL__EXCLUDING_DIRECT_SERIES_60___DEPT_910">[3]Manufacturing!#REF!</definedName>
    <definedName name="MATERIAL__NON_PRODUCT_LINE_SUPPORT_909_930_938_970_974_978_987_995_998">#REF!</definedName>
    <definedName name="MATERIAL__S_2000_DEDICATED_D_902_SAL__D_912_HRLY">#REF!</definedName>
    <definedName name="MATERIAL__S_4000_DEDICATED_D_904_SAL__D_914_HRLY">#REF!</definedName>
    <definedName name="MATERIAL__S_50_DEDICATED_D_911">#REF!</definedName>
    <definedName name="MATERIAL__S_55_DEDICATED_D_905_SAL___D_962_HRLY">#REF!</definedName>
    <definedName name="MATERIAL__S_60__901_SAL__910_HRLY">#REF!</definedName>
    <definedName name="MBAG">#REF!</definedName>
    <definedName name="MBAG_share">#REF!</definedName>
    <definedName name="MBBeLux_HM">'[16]LC Hannover'!#REF!</definedName>
    <definedName name="MBCH_HM">'[16]LC Hannover'!#REF!</definedName>
    <definedName name="MBE_HM">'[16]LC Hannover'!#REF!</definedName>
    <definedName name="MBF_HM">'[16]LC Hannover'!#REF!</definedName>
    <definedName name="MBI_HM">'[16]LC Hannover'!#REF!</definedName>
    <definedName name="MBJ">'[16]LC Hannover'!#REF!</definedName>
    <definedName name="MBNL_HM">'[16]LC Hannover'!#REF!</definedName>
    <definedName name="MBP_HM">'[16]LC Hannover'!#REF!</definedName>
    <definedName name="MBPol_FM">'[16]LC Hannover'!#REF!</definedName>
    <definedName name="MBPol_FM_EUR">'[16]LC Hannover'!#REF!</definedName>
    <definedName name="MBPol_HM">'[16]LC Hannover'!#REF!</definedName>
    <definedName name="MBPol_HM_EUR">'[16]LC Hannover'!#REF!</definedName>
    <definedName name="MBRussia_HM">'[16]LC Hannover'!#REF!</definedName>
    <definedName name="MBSing_FM">'[16]LC Hannover'!#REF!</definedName>
    <definedName name="MBSing_HM">'[16]LC Hannover'!#REF!</definedName>
    <definedName name="MBUK_HM">'[16]LC Hannover'!#REF!</definedName>
    <definedName name="MBUSA_HM">'[16]LC Hannover'!#REF!</definedName>
    <definedName name="measdt">#REF!</definedName>
    <definedName name="MES_UNIQUE_SAP">#REF!</definedName>
    <definedName name="misc18val">#REF!</definedName>
    <definedName name="misc19val">#REF!</definedName>
    <definedName name="miscval">#REF!</definedName>
    <definedName name="MonthEnd">'[19]MOAB Base Data'!$A$4</definedName>
    <definedName name="MonthNum">'[19]MOAB Base Data'!$A$7</definedName>
    <definedName name="MORROW_STAFF">[3]Manufacturing!#REF!</definedName>
    <definedName name="Name" hidden="1">[12]FP11!#REF!</definedName>
    <definedName name="NATCO_share">#REF!</definedName>
    <definedName name="nb">#REF!</definedName>
    <definedName name="Net_revenue">#REF!</definedName>
    <definedName name="Net_revenue_E_200__ex_JV_price">#REF!</definedName>
    <definedName name="Net_revenue_E_230__ex_JV_price">#REF!</definedName>
    <definedName name="Net_revenue_local_assembled_E_200_Mio_LE">#REF!</definedName>
    <definedName name="Net_revenue_local_assembled_E_230_Mio_LE">#REF!</definedName>
    <definedName name="Net_revenue_per_WH_on_2011_prices_index_year">'[30]P_Net rev'!$C$24:$Q$24</definedName>
    <definedName name="Net_revenue_per_WH_on_2011_prices_RMB">'[30]P_Net rev'!$C$24:$Q$36</definedName>
    <definedName name="netexw">#REF!</definedName>
    <definedName name="netnatcurr">#REF!</definedName>
    <definedName name="Neues_jahr">#REF!</definedName>
    <definedName name="neusum">[6]Premises!#REF!</definedName>
    <definedName name="New_added_capital_DBAG">#REF!</definedName>
    <definedName name="New_added_capital_MBAG">#REF!</definedName>
    <definedName name="New_added_capital_NATCO">#REF!</definedName>
    <definedName name="New_paid_in_capital">#REF!</definedName>
    <definedName name="Non_recurring_expenses">#REF!</definedName>
    <definedName name="Notional_depreciations">#REF!</definedName>
    <definedName name="Notional_inter._liquid_funds">#REF!</definedName>
    <definedName name="Notional_inter._working_capital_E_200">#REF!</definedName>
    <definedName name="Notional_inter._working_capital_E_230">#REF!</definedName>
    <definedName name="Notional_interest">#REF!</definedName>
    <definedName name="Notional_interest_E.G.A_on_fixed_assets">#REF!</definedName>
    <definedName name="Notional_interests">#REF!</definedName>
    <definedName name="NOW">'[31] '!$R$2</definedName>
    <definedName name="Number__Level_1_Management__without_expats">'[15]Input 3_Workforce Production'!$B$19:$K$19</definedName>
    <definedName name="Number__Level_2_Management">'[15]Input 3_Workforce Production'!$B$20:$K$20</definedName>
    <definedName name="Number__Level_2_Management__without_expats">'[15]Input 3_Workforce Production'!$B$20:$K$20</definedName>
    <definedName name="Number__Level_3_Management">'[15]Input 3_Workforce Production'!$B$22:$K$22</definedName>
    <definedName name="Number__Level_3_Management__without_expats">'[15]Input 3_Workforce Production'!$B$22:$K$22</definedName>
    <definedName name="NWAGE">#REF!</definedName>
    <definedName name="ODC">#REF!</definedName>
    <definedName name="ODH">#REF!</definedName>
    <definedName name="Office_equipment">#REF!</definedName>
    <definedName name="ölpo">#REF!</definedName>
    <definedName name="ON_HGHWY">#REF!</definedName>
    <definedName name="öö">#REF!</definedName>
    <definedName name="oper_res_Usa">#REF!</definedName>
    <definedName name="Operating_Cash_Flow">#REF!</definedName>
    <definedName name="Operating_profit">#REF!</definedName>
    <definedName name="OPTIONS">#REF!</definedName>
    <definedName name="OTHER_MANUFACTURING">[3]Manufacturing!#REF!</definedName>
    <definedName name="Other_reimbursements">#REF!</definedName>
    <definedName name="Other_suppliers">#REF!</definedName>
    <definedName name="ovnetpr">#REF!</definedName>
    <definedName name="PA_F">#REF!</definedName>
    <definedName name="PA_M">#REF!</definedName>
    <definedName name="PA_MAS">#REF!</definedName>
    <definedName name="PA_MD">#REF!</definedName>
    <definedName name="PA_T">#REF!</definedName>
    <definedName name="packcst">#REF!</definedName>
    <definedName name="packpcent">#REF!</definedName>
    <definedName name="packvalue">#REF!</definedName>
    <definedName name="Paid_in_capital">#REF!</definedName>
    <definedName name="Paid_in_capital__Total">#REF!</definedName>
    <definedName name="Painting_equipment">#REF!</definedName>
    <definedName name="PARTS_EX">#REF!</definedName>
    <definedName name="Parts_retail_stock__covered_by_wholesale_stock">'[13]10b_Working_cap_Ret'!$B$50:$O$50</definedName>
    <definedName name="Parts_wholesale_stock">'[13]10a_Working_cap_WS'!$B$50:$O$50</definedName>
    <definedName name="PASSIVA">#REF!</definedName>
    <definedName name="PASTPAY">#REF!</definedName>
    <definedName name="payinc">'[21]Annuity Factors'!$C$35</definedName>
    <definedName name="Pension_funds">#REF!</definedName>
    <definedName name="portwareval">#REF!</definedName>
    <definedName name="Price_C180">'[9]Input 1_Volume'!#REF!</definedName>
    <definedName name="Price_E200">'[9]Input 1_Volume'!#REF!</definedName>
    <definedName name="Price_ex_factory_E_200_CKD">'[17]7_Gross Margin (E 200K CKD) '!$B$8:$O$8</definedName>
    <definedName name="Price_ex_factory_E_200_K_SKD">'[17]7_Gross Margin (E 200K SKD)'!$B$8:$O$8</definedName>
    <definedName name="Price_ex_factory_E_300_CKD">'[17]7_Gross Margin (E 300 CKD)'!$B$8:$O$8</definedName>
    <definedName name="Price_ex_factory_E_320_CKD">'[17]7_Gross Margin (E 320 CKD)'!$B$8:$O$8</definedName>
    <definedName name="Price_ex_factory_E_320_SKD">'[17]7_Gross Margin (E 320 SKD)'!$B$8:$O$8</definedName>
    <definedName name="Price_ex_factory_S_350_L_SKD">'[17]7_Gross Margin (S 350L SKD)'!$B$8:$O$8</definedName>
    <definedName name="Price_Increase_MB_products">'[9]Input 0_Macro_eco'!#REF!</definedName>
    <definedName name="_xlnm.Print_Area" localSheetId="1">Dashboard!$A$1:$AC$28</definedName>
    <definedName name="_xlnm.Print_Area" localSheetId="3">Signature!$A$1:$N$42</definedName>
    <definedName name="Print_Area_MI">#REF!</definedName>
    <definedName name="Print_Head">#REF!</definedName>
    <definedName name="Print_Titles_MI">#REF!</definedName>
    <definedName name="Prod_E200">'[32]2_Volumes (Sales &amp; production)'!$E$83:$K$83</definedName>
    <definedName name="Production_E_200_K__CKD">'[17]2_Volumes (Sales &amp; production)'!$B$49:$O$49</definedName>
    <definedName name="Production_E_200_K__SKD">'[17]2_Volumes (Sales &amp; production)'!$B$43:$O$43</definedName>
    <definedName name="Production_E_230_Elegance">'[24]Input 1_Volume'!#REF!</definedName>
    <definedName name="Production_E_300__CKD">'[17]2_Volumes (Sales &amp; production)'!$B$51:$O$51</definedName>
    <definedName name="Production_E_320__CKD">'[17]2_Volumes (Sales &amp; production)'!$B$50:$O$50</definedName>
    <definedName name="Production_E_320__SKD">'[17]2_Volumes (Sales &amp; production)'!$B$44:$O$44</definedName>
    <definedName name="Production_S_350_L__SKD">'[17]2_Volumes (Sales &amp; production)'!$B$45:$O$45</definedName>
    <definedName name="production_tax_E_200_CKD">'[17]0_Macro_oec'!$B$93:$O$93</definedName>
    <definedName name="production_tax_E_200_K_SKD">'[17]0_Macro_oec'!$B$180:$O$180</definedName>
    <definedName name="production_tax_E_300_CKD">'[17]0_Macro_oec'!$B$151:$O$151</definedName>
    <definedName name="production_tax_E_320_CKD">'[17]0_Macro_oec'!$B$122:$O$122</definedName>
    <definedName name="production_tax_E_320_SKD">'[17]0_Macro_oec'!$B$209:$O$209</definedName>
    <definedName name="production_tax_S_350_L_SKD">'[17]0_Macro_oec'!$B$238:$O$238</definedName>
    <definedName name="produkte">#REF!</definedName>
    <definedName name="Profit___Loss_brought_forward">#REF!</definedName>
    <definedName name="Profit__before_tax">#REF!</definedName>
    <definedName name="Profit__Loss_to_bring_forward">#REF!</definedName>
    <definedName name="Profit_after_tax">#REF!</definedName>
    <definedName name="Profit_Center">#REF!</definedName>
    <definedName name="Profit_Loss_after_tax">#REF!</definedName>
    <definedName name="Profit_Loss_for_the_year__after_tax">#REF!</definedName>
    <definedName name="Profits_Losses_brought_forward__5_years_tax_holiday">#REF!</definedName>
    <definedName name="projects">#REF!</definedName>
    <definedName name="PROMO_EX">#REF!</definedName>
    <definedName name="Property_tax">#REF!</definedName>
    <definedName name="PURCHASING">[3]Manufacturing!#REF!</definedName>
    <definedName name="q">#REF!</definedName>
    <definedName name="qerqwer">MID(CELL([0]!File),FIND("C60",CELL([0]!File))-2,5)&amp;"a-"</definedName>
    <definedName name="qerqwera">#N/A</definedName>
    <definedName name="QUALITY__EXCLUDING_DIRECT_SERIES_60___DEPT_727">[3]Manufacturing!#REF!</definedName>
    <definedName name="RATE">#REF!</definedName>
    <definedName name="rdgg">#REF!</definedName>
    <definedName name="Real_estate__purchase_value">#REF!</definedName>
    <definedName name="Receivables">#REF!</definedName>
    <definedName name="Receivables___changes_to_pr._y.">#REF!</definedName>
    <definedName name="Receivables__changes_to_pr._y.">'[8]10_Work_cap'!$B$108:$O$108</definedName>
    <definedName name="Receivables__E_230__changes_to_pr._y.">#REF!</definedName>
    <definedName name="Receivables_E_200__changes_to_pr._y.">#REF!</definedName>
    <definedName name="Reimbursements">#REF!</definedName>
    <definedName name="Repayment_LTL">#REF!</definedName>
    <definedName name="Repayment_STL">#REF!</definedName>
    <definedName name="Report_Date">'[19]MOAB Base Data'!$D$4</definedName>
    <definedName name="Report_Date_Old">'[19]MOAB Base Data'!$D$7</definedName>
    <definedName name="Report_Monat">8</definedName>
    <definedName name="Repurchase_value_of_DP">#REF!</definedName>
    <definedName name="Repurchase_value_of_tangible_assets">#REF!</definedName>
    <definedName name="Reserves_brought_forward">#REF!</definedName>
    <definedName name="Reserves_for_Tax_payments">#REF!</definedName>
    <definedName name="Rest_value_of_Lump_sum___TE_TA">#REF!</definedName>
    <definedName name="Restwert">#REF!</definedName>
    <definedName name="Retail_inventory_vehicles__excl._receivables">'[13]10b_Working_cap_Ret'!$B$40:$O$40</definedName>
    <definedName name="RLC_Dubai">'[16]LC Hannover'!#REF!</definedName>
    <definedName name="RLC_Singapore">'[16]LC Hannover'!#REF!</definedName>
    <definedName name="RNG_6B">#REF!,#REF!,#REF!,#REF!</definedName>
    <definedName name="rngGBText">[33]Sendebahn!$AQ$52</definedName>
    <definedName name="ror">'[20]FAS 87 - SERP Results'!$C$32</definedName>
    <definedName name="Royalties__on_deletion_prices_MBAG_._._10">#REF!</definedName>
    <definedName name="Royalties_E_200__on_deletion_prices_MBAG_._._10">'[9]Input 7_Overhead'!#REF!</definedName>
    <definedName name="Royalties_E_230__on_deletion_prices_MBAG_._._10">'[9]Input 7_Overhead'!#REF!</definedName>
    <definedName name="Running_capital">#REF!</definedName>
    <definedName name="RW1641201VSK">[23]Premisses!#REF!</definedName>
    <definedName name="RW1641201Zoll">[23]Premisses!#REF!</definedName>
    <definedName name="RW1641221VSK">[23]Premisses!#REF!</definedName>
    <definedName name="RW1641221Zoll">[23]Premisses!#REF!</definedName>
    <definedName name="RW1641751VSK">[23]Premisses!#REF!</definedName>
    <definedName name="RW1641751Zoll">[23]Premisses!#REF!</definedName>
    <definedName name="RW1641861VSK">[23]Premisses!#REF!</definedName>
    <definedName name="RW1641861Zoll">[23]Premisses!#REF!</definedName>
    <definedName name="S_2000_MANUFACTURING">[3]Manufacturing!#REF!</definedName>
    <definedName name="S_4000__S_4000_MANUFACTURING_ONLY___LESS_904_914_730">[3]Manufacturing!#REF!</definedName>
    <definedName name="S_55_MANUFACTURING">[3]Manufacturing!#REF!</definedName>
    <definedName name="sad">#REF!</definedName>
    <definedName name="SAL_SERV">#REF!</definedName>
    <definedName name="SALARIED">#REF!</definedName>
    <definedName name="Salary">#REF!</definedName>
    <definedName name="Saldo_LTL">#REF!</definedName>
    <definedName name="Saldo_STL">#REF!</definedName>
    <definedName name="SALE_ANLYS">#REF!</definedName>
    <definedName name="Sales_E_200_Classic">'[24]Input 1_Volume'!#REF!</definedName>
    <definedName name="Sales_E_230_Elegance">'[24]Input 1_Volume'!#REF!</definedName>
    <definedName name="Sales_e200">#REF!</definedName>
    <definedName name="SALES_EMPL">#REF!</definedName>
    <definedName name="SALES_EX">#REF!</definedName>
    <definedName name="Sales_ex_Prod_JV_E_200_K__CKD">'[17]2_Volumes (Sales &amp; production)'!$B$67:$O$67</definedName>
    <definedName name="Sales_ex_Prod_JV_E_200_K__SKD">'[17]2_Volumes (Sales &amp; production)'!$B$61:$O$61</definedName>
    <definedName name="Sales_ex_Prod_JV_E_300__CKD">'[17]2_Volumes (Sales &amp; production)'!$B$69:$O$69</definedName>
    <definedName name="Sales_ex_Prod_JV_E_320__CKD">'[17]2_Volumes (Sales &amp; production)'!$B$68:$O$68</definedName>
    <definedName name="Sales_ex_Prod_JV_E_320__SKD">'[17]2_Volumes (Sales &amp; production)'!$B$62:$O$62</definedName>
    <definedName name="Sales_ex_Prod_JV_S_350_L__SKD">'[17]2_Volumes (Sales &amp; production)'!$B$63:$O$63</definedName>
    <definedName name="Sales_locally_assembled_cars">#REF!</definedName>
    <definedName name="Sales_Margin">#REF!</definedName>
    <definedName name="Sales_Margin__total_amount">#REF!</definedName>
    <definedName name="Sales_Tax">#REF!</definedName>
    <definedName name="Sales_Tax__total_amount">#REF!</definedName>
    <definedName name="salscale">'[20]FAS 87 - SERP Results'!$C$35</definedName>
    <definedName name="SAPBEXbbsBack" hidden="1">"xSAPtemp2564.xls"</definedName>
    <definedName name="SAPBEXrevision" hidden="1">1</definedName>
    <definedName name="SAPBEXsysID" hidden="1">"P2A"</definedName>
    <definedName name="SAPBEXwbID" hidden="1">"44Y584V19UA4C3T42EJ7KTLKN"</definedName>
    <definedName name="sdf">#REF!</definedName>
    <definedName name="sdsd">MID(CELL([0]!File),FIND(".X",CELL([0]!File))+2,1)</definedName>
    <definedName name="sdsda">#N/A</definedName>
    <definedName name="Securing_cost__percentage">#REF!</definedName>
    <definedName name="Securities">#REF!</definedName>
    <definedName name="SEL_SERV">#REF!</definedName>
    <definedName name="Self_financing">#REF!</definedName>
    <definedName name="SELLING">#REF!</definedName>
    <definedName name="Send">#REF!</definedName>
    <definedName name="Sender_Rules">#REF!</definedName>
    <definedName name="SER_TRVL">#REF!</definedName>
    <definedName name="SERIES_55">[3]Manufacturing!#REF!</definedName>
    <definedName name="serp">#REF!</definedName>
    <definedName name="SERPPCT">#REF!</definedName>
    <definedName name="SERV_EX">#REF!</definedName>
    <definedName name="Service_tax__total_amount">#REF!</definedName>
    <definedName name="SEX">#REF!</definedName>
    <definedName name="Short_term_loans_current_value">#REF!</definedName>
    <definedName name="Short_term_loans_current_value__LC">'[15]14 Funding'!$B$50:$O$50</definedName>
    <definedName name="SKD_Kit___Local_Content_total_E_200_K_SKD">'[17]6_SKD  E200K'!$B$135:$O$135</definedName>
    <definedName name="SKD_Kit__FOB_E_200_K">'[17]6_SKD  E200K'!$B$68:$O$68</definedName>
    <definedName name="SKD_Kit__FOB_E_320">'[17]6_SKD  E320'!$B$68:$O$68</definedName>
    <definedName name="SKD_Kit__FOB_S_350_L">'[17]6_SKD  S350L'!$B$68:$O$68</definedName>
    <definedName name="Sparte">IF(MID(CELL("Dateiname"),FIND(".X",CELL("Dateiname"))-3,3)="ATS","Sparte: ATS gesamt")</definedName>
    <definedName name="Sprache">IF(ISTEXT(CELL("Dateiname")),1,IF(ISTEXT(CELL("nombre")),2,3))</definedName>
    <definedName name="ssss">MID(CELL([0]!File),FIND("C60",CELL([0]!File))-2,5)&amp;"a-"</definedName>
    <definedName name="sswbinc">'[20]FAS 87 - SERP Results'!$C$33</definedName>
    <definedName name="STAMMDATEN_WÄHRUNG">#REF!</definedName>
    <definedName name="Stamp_tax">#REF!</definedName>
    <definedName name="Stamp_tax_on_nominal_capital">#REF!</definedName>
    <definedName name="Status_OP">#REF!</definedName>
    <definedName name="Status_SRDB">#REF!</definedName>
    <definedName name="StatusVsTarget">#REF!</definedName>
    <definedName name="STCK1">#REF!</definedName>
    <definedName name="STCK2">#REF!</definedName>
    <definedName name="STCK3">#REF!</definedName>
    <definedName name="Steuer">#REF!</definedName>
    <definedName name="Steuer_basis">#REF!</definedName>
    <definedName name="Strategic_Cash_Flow">#REF!</definedName>
    <definedName name="Strategic_Cash_Flow_DB_Rules">#REF!</definedName>
    <definedName name="Stückergebnis_W_210">#REF!</definedName>
    <definedName name="Subtotal__Added_capital">#REF!</definedName>
    <definedName name="Subtotal__Financial_surplus_deficit">'[15]13 Liquidity'!$B$31:$O$31</definedName>
    <definedName name="Subtotal__Gross_cash_flow">#REF!</definedName>
    <definedName name="Subtotal__Net._cash_flow">#REF!</definedName>
    <definedName name="Subtotal__paid_in_capital">#REF!</definedName>
    <definedName name="Subtotal__Surplus_deficit">#REF!</definedName>
    <definedName name="Subtotal_CKD_value__landed_costs">#REF!</definedName>
    <definedName name="Subtotal_custom_base__CIF_value">#REF!</definedName>
    <definedName name="Subtotal_Dividend_payments">#REF!</definedName>
    <definedName name="Subtotal_Local_parts">'[9]Input 5_CKD Type Calculation'!#REF!</definedName>
    <definedName name="Subtotal_net_turnover">#REF!</definedName>
    <definedName name="Summary">#REF!</definedName>
    <definedName name="Summed_assets">#REF!</definedName>
    <definedName name="Summed_intangible_assets">#REF!</definedName>
    <definedName name="Summed_Invest">#REF!</definedName>
    <definedName name="Supplier_credits___advance_payments">#REF!</definedName>
    <definedName name="Supplier_credits___advance_payments_E_200">#REF!</definedName>
    <definedName name="Supplier_credits___advance_payments_E_230">#REF!</definedName>
    <definedName name="SUPPLIER_QUALITY">[3]Manufacturing!#REF!</definedName>
    <definedName name="sx">#REF!</definedName>
    <definedName name="T_E_EXP">#REF!</definedName>
    <definedName name="tangible_and_intangible_assets">#REF!</definedName>
    <definedName name="Targets">#REF!</definedName>
    <definedName name="TAX_BASE">#REF!</definedName>
    <definedName name="TAX_basis_Net_revenue">#REF!</definedName>
    <definedName name="Taxable_income">#REF!</definedName>
    <definedName name="Taxes_on_income">#REF!</definedName>
    <definedName name="tbl_Auslastung_Historie">[34]tbl_Auslastung_Historie!#REF!</definedName>
    <definedName name="TE_and_lump_sum__license_fee">#REF!</definedName>
    <definedName name="TE_and_lump_sum_non_recurring">#REF!</definedName>
    <definedName name="TE_TA_and_lump_sum_non_recurring__6_3_Mio_DM">#REF!</definedName>
    <definedName name="TE_TA_einmalig">'[9]Input 7_Overhead'!#REF!</definedName>
    <definedName name="TE_TA_frequently">'[9]Input 7_Overhead'!#REF!</definedName>
    <definedName name="test">[25]Overview!#REF!</definedName>
    <definedName name="TEST0">#REF!</definedName>
    <definedName name="test1">'[35]LC Hannover'!#REF!</definedName>
    <definedName name="TESTHKEY">#REF!</definedName>
    <definedName name="TESTKEYS">#REF!</definedName>
    <definedName name="TESTVKEY">#REF!</definedName>
    <definedName name="thereof_change_in_investment_reserves__10__of_profit">#REF!</definedName>
    <definedName name="thereof_change_in_reserves__20__of_profit">#REF!</definedName>
    <definedName name="TM1REBUILDOPTION">1</definedName>
    <definedName name="Total_assets">#REF!</definedName>
    <definedName name="Total_assets__fixed_and_current">#REF!</definedName>
    <definedName name="Total_change_in_reserves">#REF!</definedName>
    <definedName name="Total_cost_CKD_kit_E_200_K_CKD">'[17]6_CKD  E200K'!$B$91:$O$91</definedName>
    <definedName name="Total_cost_CKD_kit_E_300_CKD">'[17]6_CKD  E300'!$B$91:$O$91</definedName>
    <definedName name="Total_cost_CKD_kit_E_320_CKD">'[17]6_CKD  E320'!$B$91:$O$91</definedName>
    <definedName name="Total_cost_SKD_kit_E_200_K_SKD">'[17]6_SKD  E200K'!$B$91:$O$91</definedName>
    <definedName name="Total_cost_SKD_kit_E_320_SKD">'[17]6_SKD  E320'!$B$91:$O$91</definedName>
    <definedName name="Total_cost_SKD_kit_S_350_L_SKD">'[17]6_SKD  S350L'!$B$91:$O$91</definedName>
    <definedName name="Total_costs_at_6.th_of_October">#REF!</definedName>
    <definedName name="Total_credits_from_MBAG">#REF!</definedName>
    <definedName name="Total_customs">#REF!</definedName>
    <definedName name="Total_customs_per_unit_E_200">#REF!</definedName>
    <definedName name="Total_customs_per_unit_E_230">#REF!</definedName>
    <definedName name="Total_deletion_price">#REF!</definedName>
    <definedName name="Total_Depreciation_S_M_JV_financial">'[8]11_depreciation'!#REF!</definedName>
    <definedName name="Total_direct_costs">#REF!</definedName>
    <definedName name="Total_equity">#REF!</definedName>
    <definedName name="Total_expenses__without_depr.">#REF!</definedName>
    <definedName name="Total_financial_depreciation_production">'[8]11_depreciation'!$B$7:$O$7</definedName>
    <definedName name="TOTAL_FORSYTH">[3]Manufacturing!#REF!</definedName>
    <definedName name="Total_German_Index_1995___100">'[9]Input 0_Macro_eco'!#REF!</definedName>
    <definedName name="TOTAL_HAWLEY">[3]Manufacturing!#REF!</definedName>
    <definedName name="TOTAL_HENRIKSEN">[3]Manufacturing!#REF!</definedName>
    <definedName name="Total_inflated_overheads">#REF!</definedName>
    <definedName name="Total_interest_on_working_capital">#REF!</definedName>
    <definedName name="Total_invest">#REF!</definedName>
    <definedName name="Total_labor_costs_direct_workers">#REF!</definedName>
    <definedName name="Total_liabilities">#REF!</definedName>
    <definedName name="Total_liquid_funds">#REF!</definedName>
    <definedName name="Total_Management">'[15]Input 3_Workforce Production'!$B$28:$K$28</definedName>
    <definedName name="Total_material_costs">#REF!</definedName>
    <definedName name="TOTAL_MORROW">[3]Manufacturing!#REF!</definedName>
    <definedName name="Total_net_revenue_Mio_LE">#REF!</definedName>
    <definedName name="Total_overheads">#REF!</definedName>
    <definedName name="Total_overheads_before_inflation">#REF!</definedName>
    <definedName name="Total_passiva">#REF!</definedName>
    <definedName name="Total_price_Index_MB_products">'[9]Input 0_Macro_eco'!#REF!</definedName>
    <definedName name="Total_production_W_210">#REF!</definedName>
    <definedName name="TOTAL_PURCHASING">[3]Manufacturing!#REF!</definedName>
    <definedName name="Total_receivables_retail">'[13]10b_Working_cap_Ret'!$B$56:$O$56</definedName>
    <definedName name="Total_receivables_wholesale">'[13]10a_Working_cap_WS'!$B$56:$O$56</definedName>
    <definedName name="Total_rest_value_of_assets">#REF!</definedName>
    <definedName name="Total_rest_value_of_tangible_assets">#REF!</definedName>
    <definedName name="Total_revenue_from_saIes_of_vehicles">'[17]14_P&amp;L'!$B$15:$O$15</definedName>
    <definedName name="Total_revenue_from_sales_W_210">#REF!</definedName>
    <definedName name="TOTAL_S_60_MFG.">[3]Manufacturing!#REF!</definedName>
    <definedName name="Total_securing_cost">#REF!</definedName>
    <definedName name="TOTAL_SERIES_2000">[3]Manufacturing!#REF!</definedName>
    <definedName name="TOTAL_SERIES_4000">[3]Manufacturing!#REF!</definedName>
    <definedName name="TOTAL_SERIES_55__">[3]Manufacturing!#REF!</definedName>
    <definedName name="TOTAL_SERIES_60">[3]Manufacturing!#REF!</definedName>
    <definedName name="Total_value_import_material_in_DEM">#REF!</definedName>
    <definedName name="Total_wages_and_salaries">#REF!</definedName>
    <definedName name="Total_wages_E_200">#REF!</definedName>
    <definedName name="Total_wages_E_230">#REF!</definedName>
    <definedName name="Total_working_capital">#REF!</definedName>
    <definedName name="Total_working_capital_E_230">#REF!</definedName>
    <definedName name="Total_working_capital_E200__without_l._funds">#REF!</definedName>
    <definedName name="Total_working_capital_E200_incl_all_liquid_funds">#REF!</definedName>
    <definedName name="Total_Workload_p.y._E_200">#REF!</definedName>
    <definedName name="Total_Workload_p.y._E_230">#REF!</definedName>
    <definedName name="Trade_creditors">#REF!</definedName>
    <definedName name="transpval">#REF!</definedName>
    <definedName name="travel_adv">#REF!</definedName>
    <definedName name="TRVL_EXP">#REF!</definedName>
    <definedName name="Type_Wholesale">'[36]IQT-Type'!$A$4:$Z$40</definedName>
    <definedName name="Überschrift">"Jahresabschluß 1996"</definedName>
    <definedName name="UMSA">#REF!</definedName>
    <definedName name="UMSA_OPROFIT">#REF!</definedName>
    <definedName name="US1641751VSK">[23]Premisses!#REF!</definedName>
    <definedName name="US1641751Zoll">[23]Premisses!#REF!</definedName>
    <definedName name="US1641861VSK">[23]Premisses!#REF!</definedName>
    <definedName name="US1641861Zoll">[23]Premisses!#REF!</definedName>
    <definedName name="Use_of_profit_for_investment">#REF!</definedName>
    <definedName name="Use_of_profit_for_investment_reserves">#REF!</definedName>
    <definedName name="Use_of_profit_for_provision">#REF!</definedName>
    <definedName name="Use_of_profit_for_reserves__JV_contract">#REF!</definedName>
    <definedName name="valdate">#REF!</definedName>
    <definedName name="value">#REF!</definedName>
    <definedName name="Value_for_royalty_calculation">#REF!</definedName>
    <definedName name="Value_for_royalty_calculation_E_200">#REF!</definedName>
    <definedName name="Value_for_royalty_calculation_E_230">#REF!</definedName>
    <definedName name="ValYear">#REF!</definedName>
    <definedName name="var">#REF!</definedName>
    <definedName name="vcx">#REF!</definedName>
    <definedName name="vd">#REF!</definedName>
    <definedName name="vehicles_CBU">#REF!</definedName>
    <definedName name="VehicleSelect">'[37]Investment_Income$ NEW'!$Q$12:$S$26</definedName>
    <definedName name="vf">#REF!</definedName>
    <definedName name="victor">#REF!</definedName>
    <definedName name="VM_DDMB">#REF!</definedName>
    <definedName name="Volume_CBU_changes_to_pr._y.">#REF!</definedName>
    <definedName name="Volume_CBU_E_200_changes_to_pr._y.">#REF!</definedName>
    <definedName name="Volume_CBU_E_230_changes_to_pr._y.">#REF!</definedName>
    <definedName name="Volume_CKD_Kits">#REF!</definedName>
    <definedName name="Volume_Receivables">#REF!</definedName>
    <definedName name="Volume_Receivables_E_200__Gen._Distr.__Dealers">#REF!</definedName>
    <definedName name="Volume_Receivables_E_230__Gen._Distr.__Dealers">#REF!</definedName>
    <definedName name="VpercentSelect">'[37]Investment_Income$ NEW'!$AC$12:$AG$27</definedName>
    <definedName name="vselect">'[37]Investment_Income$ NEW'!$A$12:$S$26</definedName>
    <definedName name="VWKZMarkup">[23]Premisses!$D$11</definedName>
    <definedName name="w">#REF!</definedName>
    <definedName name="wagebase">#REF!</definedName>
    <definedName name="Warranty_reimbursement">#REF!</definedName>
    <definedName name="Werte_AP">#REF!</definedName>
    <definedName name="Werte_MonatJahr">#REF!</definedName>
    <definedName name="Werte_Projekt">#REF!</definedName>
    <definedName name="Werte_Werk">#REF!</definedName>
    <definedName name="WH_List">[30]P_Network!$C$4:$C$15</definedName>
    <definedName name="Wholesale_inventory_vehicles__excl._receivables">'[13]10a_Working_cap_WS'!$B$40:$O$40</definedName>
    <definedName name="Wochenende">#REF!,#REF!,#REF!,#REF!,#REF!,#REF!,#REF!,#REF!</definedName>
    <definedName name="Worksheet">#REF!</definedName>
    <definedName name="wrn.97." hidden="1">{"ONE",#N/A,FALSE,"96DDCOD";"TWO",#N/A,FALSE,"96DDCOD"}</definedName>
    <definedName name="wrn.ALLMOSANDQTRS." hidden="1">{"CONS12",#N/A,FALSE,"1996BSCH";"DOM12",#N/A,FALSE,"1996BSCH";"CAN12",#N/A,FALSE,"1996BSCH";"DDODC12",#N/A,FALSE,"1996BSCH";"DDE12",#N/A,FALSE,"1996BSCH";"DDOC12",#N/A,FALSE,"1996BSCH";"ELIM6MO",#N/A,FALSE,"1996BSCH";"other12",#N/A,FALSE,"1996BSCH";"var12",#N/A,FALSE,"1996BSCH"}</definedName>
    <definedName name="wrn.AOB." hidden="1">{"TRAD DDC",#N/A,FALSE,"AOB96";"DOMESTIC",#N/A,FALSE,"AOB96";"CANADA",#N/A,FALSE,"AOB96";"EUROPE",#N/A,FALSE,"AOB96";"DOC",#N/A,FALSE,"AOB96";"DDODC",#N/A,FALSE,"AOB96";"ELIMS",#N/A,FALSE,"AOB96"}</definedName>
    <definedName name="wrn.Backup." hidden="1">{#N/A,#N/A,FALSE,"Back-up";#N/A,#N/A,FALSE,"Pricing";#N/A,#N/A,FALSE,"Incentives";#N/A,#N/A,FALSE,"Cons. Employment";#N/A,#N/A,FALSE,"Manufacturing";#N/A,#N/A,FALSE,"Engineering II";#N/A,#N/A,FALSE,"Expenses";#N/A,#N/A,FALSE,"Administration";#N/A,#N/A,FALSE,"Selling";#N/A,#N/A,FALSE,"Marketing";#N/A,#N/A,FALSE,"Warehouse";#N/A,#N/A,FALSE,"Warranty";#N/A,#N/A,FALSE,"CAPEX";#N/A,#N/A,FALSE,"Series 50-60";#N/A,#N/A,FALSE,"2 Cycle";#N/A,#N/A,FALSE,"Series 2000";#N/A,#N/A,FALSE,"Series 4000";#N/A,#N/A,FALSE,"Series 30-40";#N/A,#N/A,FALSE,"Reman";#N/A,#N/A,FALSE,"Cento";#N/A,#N/A,FALSE,"Distr";#N/A,#N/A,FALSE,"Deep Backup";#N/A,#N/A,FALSE,"Series 50-60 (2)";#N/A,#N/A,FALSE,"2 Cycle (2)";#N/A,#N/A,FALSE,"Series 2000 (2)";#N/A,#N/A,FALSE,"Series 4000 (2)";#N/A,#N/A,FALSE,"Series 30-40 (2)";#N/A,#N/A,FALSE,"Deducts";#N/A,#N/A,FALSE,"EBIT";#N/A,#N/A,FALSE,"Employment"}</definedName>
    <definedName name="wrn.Slides." hidden="1">{#N/A,#N/A,FALSE,"Cover";#N/A,#N/A,FALSE,"Process";#N/A,#N/A,FALSE,"Next Steps";#N/A,#N/A,FALSE,"Goals";#N/A,#N/A,FALSE,"Units";#N/A,#N/A,FALSE,"Units By Market";#N/A,#N/A,FALSE,"Sales";#N/A,#N/A,FALSE,"Comparative IS";#N/A,#N/A,FALSE,"Consolidating";#N/A,#N/A,FALSE,"Metrics";#N/A,#N/A,FALSE,"PowerEvolution";#N/A,#N/A,FALSE,"Prod Line Title";#N/A,#N/A,FALSE,"50-60 Highlights";#N/A,#N/A,FALSE,"2 Cyl Reman Highlights";#N/A,#N/A,FALSE,"2-4000 Highlights";#N/A,#N/A,FALSE,"Cento Highlights";#N/A,#N/A,FALSE,"PL Income";#N/A,#N/A,FALSE,"PL Metrics";#N/A,#N/A,FALSE,"Sub Performance";#N/A,#N/A,FALSE,"Sensitivity"}</definedName>
    <definedName name="x" hidden="1">[38]Regionen!$B$7</definedName>
    <definedName name="xcv">#REF!</definedName>
    <definedName name="y">#REF!</definedName>
    <definedName name="YACHT">#REF!</definedName>
    <definedName name="Year">#REF!</definedName>
    <definedName name="YearOrder">#REF!</definedName>
    <definedName name="years">#REF!</definedName>
    <definedName name="Zeile_Gewerke">#REF!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26" i="35" l="1"/>
  <c r="C8" i="35" l="1"/>
  <c r="C11" i="35" l="1"/>
  <c r="D8" i="35" l="1"/>
  <c r="E27" i="34" l="1"/>
  <c r="F28" i="34"/>
  <c r="D28" i="34"/>
  <c r="B27" i="34"/>
  <c r="F24" i="34"/>
  <c r="E23" i="34"/>
  <c r="D24" i="34"/>
  <c r="B23" i="34"/>
  <c r="F20" i="34"/>
  <c r="E19" i="34"/>
  <c r="E30" i="34" l="1"/>
  <c r="D20" i="34"/>
  <c r="B19" i="34"/>
  <c r="B30" i="34" s="1"/>
  <c r="M35" i="1" l="1"/>
  <c r="J35" i="1"/>
  <c r="B30" i="35" l="1"/>
  <c r="D9" i="34" l="1"/>
  <c r="D8" i="34"/>
  <c r="D7" i="34"/>
  <c r="T101" i="1"/>
  <c r="T100" i="1"/>
  <c r="T99" i="1"/>
  <c r="T98" i="1"/>
  <c r="T97" i="1"/>
  <c r="T96" i="1"/>
  <c r="T95" i="1"/>
  <c r="T94" i="1"/>
  <c r="T93" i="1"/>
  <c r="Q101" i="1"/>
  <c r="Q100" i="1"/>
  <c r="Q99" i="1"/>
  <c r="Q98" i="1"/>
  <c r="Q97" i="1"/>
  <c r="Q96" i="1"/>
  <c r="Q95" i="1"/>
  <c r="Q94" i="1"/>
  <c r="Q93" i="1"/>
  <c r="T72" i="1"/>
  <c r="T71" i="1"/>
  <c r="T70" i="1"/>
  <c r="T69" i="1"/>
  <c r="T68" i="1"/>
  <c r="T67" i="1"/>
  <c r="T66" i="1"/>
  <c r="T65" i="1"/>
  <c r="T64" i="1"/>
  <c r="Q72" i="1"/>
  <c r="Q71" i="1"/>
  <c r="Q70" i="1"/>
  <c r="Q69" i="1"/>
  <c r="Q68" i="1"/>
  <c r="Q67" i="1"/>
  <c r="Q66" i="1"/>
  <c r="Q65" i="1"/>
  <c r="Q64" i="1"/>
  <c r="T43" i="1"/>
  <c r="T42" i="1"/>
  <c r="T41" i="1"/>
  <c r="T40" i="1"/>
  <c r="T39" i="1"/>
  <c r="T38" i="1"/>
  <c r="T37" i="1"/>
  <c r="T36" i="1"/>
  <c r="T35" i="1"/>
  <c r="Q43" i="1"/>
  <c r="Q42" i="1"/>
  <c r="Q41" i="1"/>
  <c r="Q40" i="1"/>
  <c r="Q39" i="1"/>
  <c r="Q38" i="1"/>
  <c r="Q37" i="1"/>
  <c r="Q36" i="1"/>
  <c r="Q35" i="1"/>
  <c r="J101" i="1" l="1"/>
  <c r="J100" i="1"/>
  <c r="J99" i="1"/>
  <c r="J98" i="1"/>
  <c r="J97" i="1"/>
  <c r="J96" i="1"/>
  <c r="J95" i="1"/>
  <c r="J94" i="1"/>
  <c r="J93" i="1"/>
  <c r="J72" i="1"/>
  <c r="J71" i="1"/>
  <c r="J70" i="1"/>
  <c r="J69" i="1"/>
  <c r="J68" i="1"/>
  <c r="J67" i="1"/>
  <c r="J66" i="1"/>
  <c r="J65" i="1"/>
  <c r="J64" i="1"/>
  <c r="J43" i="1"/>
  <c r="J42" i="1"/>
  <c r="J41" i="1"/>
  <c r="J40" i="1"/>
  <c r="J39" i="1"/>
  <c r="J38" i="1"/>
  <c r="J37" i="1"/>
  <c r="J36" i="1"/>
  <c r="E61" i="1" l="1"/>
  <c r="H61" i="1"/>
  <c r="L61" i="1"/>
  <c r="E62" i="1"/>
  <c r="H62" i="1"/>
  <c r="L62" i="1"/>
  <c r="E63" i="1"/>
  <c r="H63" i="1"/>
  <c r="L63" i="1"/>
  <c r="E64" i="1"/>
  <c r="H64" i="1"/>
  <c r="L64" i="1"/>
  <c r="M64" i="1"/>
  <c r="E65" i="1"/>
  <c r="H65" i="1"/>
  <c r="L65" i="1"/>
  <c r="M65" i="1"/>
  <c r="E66" i="1"/>
  <c r="H66" i="1"/>
  <c r="L66" i="1"/>
  <c r="M66" i="1"/>
  <c r="E67" i="1"/>
  <c r="H67" i="1"/>
  <c r="E68" i="1"/>
  <c r="H68" i="1"/>
  <c r="E69" i="1"/>
  <c r="H69" i="1"/>
  <c r="E70" i="1"/>
  <c r="H70" i="1"/>
  <c r="E71" i="1"/>
  <c r="H71" i="1"/>
  <c r="E72" i="1"/>
  <c r="H72" i="1"/>
  <c r="E32" i="1"/>
  <c r="H32" i="1"/>
  <c r="L32" i="1"/>
  <c r="O32" i="1"/>
  <c r="S32" i="1"/>
  <c r="E33" i="1"/>
  <c r="H33" i="1"/>
  <c r="L33" i="1"/>
  <c r="O33" i="1"/>
  <c r="S33" i="1"/>
  <c r="E34" i="1"/>
  <c r="H34" i="1"/>
  <c r="L34" i="1"/>
  <c r="O34" i="1"/>
  <c r="S34" i="1"/>
  <c r="E35" i="1"/>
  <c r="H35" i="1"/>
  <c r="L35" i="1"/>
  <c r="O35" i="1"/>
  <c r="S35" i="1"/>
  <c r="E36" i="1"/>
  <c r="H36" i="1"/>
  <c r="L36" i="1"/>
  <c r="M36" i="1"/>
  <c r="O36" i="1" s="1"/>
  <c r="S36" i="1"/>
  <c r="E37" i="1"/>
  <c r="H37" i="1"/>
  <c r="L37" i="1"/>
  <c r="M37" i="1"/>
  <c r="O37" i="1" s="1"/>
  <c r="S37" i="1"/>
  <c r="E38" i="1"/>
  <c r="H38" i="1"/>
  <c r="E39" i="1"/>
  <c r="H39" i="1"/>
  <c r="E40" i="1"/>
  <c r="H40" i="1"/>
  <c r="E41" i="1"/>
  <c r="H41" i="1"/>
  <c r="E42" i="1"/>
  <c r="H42" i="1"/>
  <c r="E43" i="1"/>
  <c r="H43" i="1"/>
  <c r="C44" i="1"/>
  <c r="E46" i="1" s="1"/>
  <c r="D44" i="1"/>
  <c r="E48" i="1" s="1"/>
  <c r="F44" i="1"/>
  <c r="G44" i="1"/>
  <c r="G48" i="1" s="1"/>
  <c r="G47" i="1" l="1"/>
  <c r="G49" i="1" s="1"/>
  <c r="B18" i="34"/>
  <c r="H44" i="1"/>
  <c r="E44" i="1"/>
  <c r="E49" i="1"/>
  <c r="F12" i="35"/>
  <c r="E12" i="35"/>
  <c r="B20" i="34" l="1"/>
  <c r="S3" i="35"/>
  <c r="C20" i="34" l="1"/>
  <c r="B9" i="35"/>
  <c r="D15" i="35" l="1"/>
  <c r="D10" i="35" s="1"/>
  <c r="Y16" i="1" l="1"/>
  <c r="Z20" i="1" s="1"/>
  <c r="AC15" i="1"/>
  <c r="AC14" i="1"/>
  <c r="AC13" i="1"/>
  <c r="AC12" i="1"/>
  <c r="AC11" i="1"/>
  <c r="AC10" i="1"/>
  <c r="AC9" i="1"/>
  <c r="AC8" i="1"/>
  <c r="AC7" i="1"/>
  <c r="AC6" i="1"/>
  <c r="AC5" i="1"/>
  <c r="N4" i="1" l="1"/>
  <c r="C6" i="35" l="1"/>
  <c r="D18" i="35" l="1"/>
  <c r="C18" i="35"/>
  <c r="C15" i="35" l="1"/>
  <c r="C10" i="35" s="1"/>
  <c r="D16" i="35" l="1"/>
  <c r="C16" i="35"/>
  <c r="M3" i="35" l="1"/>
  <c r="N3" i="35"/>
  <c r="O3" i="35"/>
  <c r="P3" i="35"/>
  <c r="Q3" i="35"/>
  <c r="R3" i="35"/>
  <c r="L3" i="35"/>
  <c r="D6" i="35" l="1"/>
  <c r="B29" i="35" l="1"/>
  <c r="C7" i="35" s="1"/>
  <c r="D7" i="35" l="1"/>
  <c r="B8" i="35" l="1"/>
  <c r="E20" i="35" l="1"/>
  <c r="F20" i="35"/>
  <c r="I19" i="35"/>
  <c r="I18" i="35"/>
  <c r="E18" i="35"/>
  <c r="I16" i="35"/>
  <c r="I15" i="35"/>
  <c r="E11" i="35"/>
  <c r="F11" i="35"/>
  <c r="F26" i="35" s="1"/>
  <c r="E10" i="35"/>
  <c r="F10" i="35"/>
  <c r="I9" i="35"/>
  <c r="E9" i="35"/>
  <c r="F9" i="35"/>
  <c r="I8" i="35"/>
  <c r="I7" i="35"/>
  <c r="E7" i="35"/>
  <c r="I6" i="35"/>
  <c r="E6" i="35"/>
  <c r="R5" i="35" l="1"/>
  <c r="Q5" i="35"/>
  <c r="C14" i="35"/>
  <c r="D14" i="35"/>
  <c r="E15" i="35"/>
  <c r="E16" i="35"/>
  <c r="E14" i="35" l="1"/>
  <c r="J50" i="1"/>
  <c r="J22" i="1"/>
  <c r="V34" i="1" l="1"/>
  <c r="AB16" i="1" l="1"/>
  <c r="AB20" i="1" s="1"/>
  <c r="R15" i="1" l="1"/>
  <c r="R14" i="1"/>
  <c r="R13" i="1"/>
  <c r="R12" i="1"/>
  <c r="R11" i="1"/>
  <c r="R10" i="1"/>
  <c r="R9" i="1"/>
  <c r="R8" i="1"/>
  <c r="R7" i="1"/>
  <c r="R6" i="1"/>
  <c r="R5" i="1"/>
  <c r="U15" i="1" l="1"/>
  <c r="U14" i="1"/>
  <c r="U13" i="1"/>
  <c r="U12" i="1"/>
  <c r="U11" i="1"/>
  <c r="U10" i="1"/>
  <c r="U9" i="1"/>
  <c r="U8" i="1"/>
  <c r="U7" i="1"/>
  <c r="U6" i="1"/>
  <c r="U5" i="1"/>
  <c r="U4" i="1"/>
  <c r="N15" i="1"/>
  <c r="N14" i="1"/>
  <c r="N13" i="1"/>
  <c r="N12" i="1"/>
  <c r="N11" i="1"/>
  <c r="N10" i="1"/>
  <c r="N9" i="1"/>
  <c r="N8" i="1"/>
  <c r="N7" i="1"/>
  <c r="N6" i="1"/>
  <c r="N5" i="1"/>
  <c r="B6" i="35" l="1"/>
  <c r="B7" i="35"/>
  <c r="F7" i="35" s="1"/>
  <c r="U16" i="1"/>
  <c r="U20" i="1" s="1"/>
  <c r="AC4" i="1"/>
  <c r="AC16" i="1" s="1"/>
  <c r="Z4" i="1"/>
  <c r="Z15" i="1"/>
  <c r="Z14" i="1"/>
  <c r="Z13" i="1"/>
  <c r="Z12" i="1"/>
  <c r="Z11" i="1"/>
  <c r="Z10" i="1"/>
  <c r="Z9" i="1"/>
  <c r="Z8" i="1"/>
  <c r="Z7" i="1"/>
  <c r="Z6" i="1"/>
  <c r="Z5" i="1"/>
  <c r="V101" i="1"/>
  <c r="V100" i="1"/>
  <c r="V99" i="1"/>
  <c r="V98" i="1"/>
  <c r="V97" i="1"/>
  <c r="V96" i="1"/>
  <c r="V95" i="1"/>
  <c r="V94" i="1"/>
  <c r="V93" i="1"/>
  <c r="V92" i="1"/>
  <c r="S101" i="1"/>
  <c r="S100" i="1"/>
  <c r="S99" i="1"/>
  <c r="S98" i="1"/>
  <c r="S97" i="1"/>
  <c r="S96" i="1"/>
  <c r="S95" i="1"/>
  <c r="S94" i="1"/>
  <c r="S93" i="1"/>
  <c r="S92" i="1"/>
  <c r="V72" i="1"/>
  <c r="V71" i="1"/>
  <c r="V70" i="1"/>
  <c r="V69" i="1"/>
  <c r="V68" i="1"/>
  <c r="V67" i="1"/>
  <c r="V66" i="1"/>
  <c r="V65" i="1"/>
  <c r="V64" i="1"/>
  <c r="V63" i="1"/>
  <c r="S72" i="1"/>
  <c r="S71" i="1"/>
  <c r="S70" i="1"/>
  <c r="S69" i="1"/>
  <c r="S68" i="1"/>
  <c r="S67" i="1"/>
  <c r="S66" i="1"/>
  <c r="S65" i="1"/>
  <c r="S64" i="1"/>
  <c r="S63" i="1"/>
  <c r="V43" i="1"/>
  <c r="V42" i="1"/>
  <c r="V41" i="1"/>
  <c r="V40" i="1"/>
  <c r="V39" i="1"/>
  <c r="V38" i="1"/>
  <c r="V37" i="1"/>
  <c r="V36" i="1"/>
  <c r="V35" i="1"/>
  <c r="S43" i="1"/>
  <c r="S42" i="1"/>
  <c r="S41" i="1"/>
  <c r="S40" i="1"/>
  <c r="S39" i="1"/>
  <c r="S38" i="1"/>
  <c r="V15" i="1"/>
  <c r="V14" i="1"/>
  <c r="V13" i="1"/>
  <c r="V12" i="1"/>
  <c r="V11" i="1"/>
  <c r="S15" i="1"/>
  <c r="S14" i="1"/>
  <c r="S13" i="1"/>
  <c r="S12" i="1"/>
  <c r="S11" i="1"/>
  <c r="O101" i="1"/>
  <c r="O100" i="1"/>
  <c r="O99" i="1"/>
  <c r="O98" i="1"/>
  <c r="O97" i="1"/>
  <c r="L101" i="1"/>
  <c r="L100" i="1"/>
  <c r="L99" i="1"/>
  <c r="L98" i="1"/>
  <c r="L97" i="1"/>
  <c r="L96" i="1"/>
  <c r="L95" i="1"/>
  <c r="L94" i="1"/>
  <c r="L93" i="1"/>
  <c r="L92" i="1"/>
  <c r="O72" i="1"/>
  <c r="O71" i="1"/>
  <c r="O70" i="1"/>
  <c r="O69" i="1"/>
  <c r="O68" i="1"/>
  <c r="O66" i="1"/>
  <c r="O65" i="1"/>
  <c r="O64" i="1"/>
  <c r="O63" i="1"/>
  <c r="L72" i="1"/>
  <c r="L71" i="1"/>
  <c r="L70" i="1"/>
  <c r="L69" i="1"/>
  <c r="L68" i="1"/>
  <c r="L67" i="1"/>
  <c r="O43" i="1"/>
  <c r="O42" i="1"/>
  <c r="O41" i="1"/>
  <c r="O40" i="1"/>
  <c r="O39" i="1"/>
  <c r="L43" i="1"/>
  <c r="L42" i="1"/>
  <c r="L41" i="1"/>
  <c r="L40" i="1"/>
  <c r="L39" i="1"/>
  <c r="L38" i="1"/>
  <c r="O15" i="1"/>
  <c r="O14" i="1"/>
  <c r="O13" i="1"/>
  <c r="O12" i="1"/>
  <c r="O11" i="1"/>
  <c r="H101" i="1"/>
  <c r="H100" i="1"/>
  <c r="H99" i="1"/>
  <c r="H98" i="1"/>
  <c r="H97" i="1"/>
  <c r="H96" i="1"/>
  <c r="H95" i="1"/>
  <c r="H94" i="1"/>
  <c r="H93" i="1"/>
  <c r="H92" i="1"/>
  <c r="H91" i="1"/>
  <c r="H90" i="1"/>
  <c r="E90" i="1"/>
  <c r="E101" i="1"/>
  <c r="E100" i="1"/>
  <c r="E99" i="1"/>
  <c r="E98" i="1"/>
  <c r="E97" i="1"/>
  <c r="E96" i="1"/>
  <c r="E95" i="1"/>
  <c r="E94" i="1"/>
  <c r="E93" i="1"/>
  <c r="E92" i="1"/>
  <c r="E91" i="1"/>
  <c r="D4" i="1"/>
  <c r="E102" i="1" l="1"/>
  <c r="F6" i="35"/>
  <c r="B5" i="35"/>
  <c r="Z16" i="1"/>
  <c r="H102" i="1"/>
  <c r="H73" i="1"/>
  <c r="E73" i="1"/>
  <c r="F18" i="35"/>
  <c r="M101" i="1"/>
  <c r="M100" i="1"/>
  <c r="M99" i="1"/>
  <c r="M98" i="1"/>
  <c r="M97" i="1"/>
  <c r="M96" i="1"/>
  <c r="O96" i="1" s="1"/>
  <c r="M95" i="1"/>
  <c r="O95" i="1" s="1"/>
  <c r="M94" i="1"/>
  <c r="O94" i="1" s="1"/>
  <c r="M93" i="1"/>
  <c r="O93" i="1" s="1"/>
  <c r="O92" i="1"/>
  <c r="O91" i="1"/>
  <c r="O90" i="1"/>
  <c r="M72" i="1"/>
  <c r="M71" i="1"/>
  <c r="M70" i="1"/>
  <c r="M69" i="1"/>
  <c r="M68" i="1"/>
  <c r="M67" i="1"/>
  <c r="O67" i="1" s="1"/>
  <c r="O62" i="1"/>
  <c r="O61" i="1"/>
  <c r="M43" i="1"/>
  <c r="M42" i="1"/>
  <c r="M41" i="1"/>
  <c r="M40" i="1"/>
  <c r="M39" i="1"/>
  <c r="M38" i="1"/>
  <c r="O38" i="1" s="1"/>
  <c r="O44" i="1" s="1"/>
  <c r="L91" i="1"/>
  <c r="L90" i="1"/>
  <c r="L44" i="1"/>
  <c r="O102" i="1" l="1"/>
  <c r="L102" i="1"/>
  <c r="L73" i="1"/>
  <c r="O73" i="1"/>
  <c r="V62" i="1"/>
  <c r="V61" i="1"/>
  <c r="V33" i="1"/>
  <c r="V32" i="1"/>
  <c r="S44" i="1"/>
  <c r="V73" i="1" l="1"/>
  <c r="V44" i="1"/>
  <c r="S61" i="1"/>
  <c r="M15" i="1"/>
  <c r="M14" i="1"/>
  <c r="M13" i="1"/>
  <c r="M12" i="1"/>
  <c r="M11" i="1"/>
  <c r="M10" i="1"/>
  <c r="O10" i="1" s="1"/>
  <c r="M9" i="1"/>
  <c r="O9" i="1" s="1"/>
  <c r="M8" i="1"/>
  <c r="O8" i="1" s="1"/>
  <c r="M7" i="1"/>
  <c r="O7" i="1" s="1"/>
  <c r="M6" i="1"/>
  <c r="O6" i="1" s="1"/>
  <c r="M5" i="1"/>
  <c r="O5" i="1" s="1"/>
  <c r="M4" i="1"/>
  <c r="O4" i="1" s="1"/>
  <c r="O16" i="1" l="1"/>
  <c r="K15" i="1"/>
  <c r="L15" i="1" s="1"/>
  <c r="K14" i="1"/>
  <c r="L14" i="1" s="1"/>
  <c r="K13" i="1"/>
  <c r="L13" i="1" s="1"/>
  <c r="K12" i="1"/>
  <c r="L12" i="1" s="1"/>
  <c r="K11" i="1"/>
  <c r="L11" i="1" s="1"/>
  <c r="K10" i="1"/>
  <c r="K9" i="1"/>
  <c r="K8" i="1"/>
  <c r="K7" i="1"/>
  <c r="K6" i="1"/>
  <c r="K5" i="1"/>
  <c r="K4" i="1"/>
  <c r="B16" i="35" l="1"/>
  <c r="F16" i="35" s="1"/>
  <c r="N102" i="1"/>
  <c r="N106" i="1" s="1"/>
  <c r="M102" i="1"/>
  <c r="K102" i="1"/>
  <c r="L106" i="1" s="1"/>
  <c r="J102" i="1"/>
  <c r="L104" i="1" s="1"/>
  <c r="N73" i="1"/>
  <c r="N77" i="1" s="1"/>
  <c r="M73" i="1"/>
  <c r="K73" i="1"/>
  <c r="L77" i="1" s="1"/>
  <c r="J73" i="1"/>
  <c r="L75" i="1" s="1"/>
  <c r="J15" i="1"/>
  <c r="J14" i="1"/>
  <c r="J13" i="1"/>
  <c r="J12" i="1"/>
  <c r="J11" i="1"/>
  <c r="J10" i="1"/>
  <c r="L10" i="1" s="1"/>
  <c r="J9" i="1"/>
  <c r="L9" i="1" s="1"/>
  <c r="J7" i="1"/>
  <c r="L7" i="1" s="1"/>
  <c r="J5" i="1"/>
  <c r="L5" i="1" s="1"/>
  <c r="J4" i="1"/>
  <c r="L4" i="1" s="1"/>
  <c r="N105" i="1" l="1"/>
  <c r="N107" i="1" s="1"/>
  <c r="E26" i="34"/>
  <c r="E28" i="34" s="1"/>
  <c r="N76" i="1"/>
  <c r="N78" i="1" s="1"/>
  <c r="E22" i="34"/>
  <c r="E24" i="34" s="1"/>
  <c r="L78" i="1"/>
  <c r="L107" i="1"/>
  <c r="E9" i="34"/>
  <c r="E8" i="34"/>
  <c r="N44" i="1" l="1"/>
  <c r="N48" i="1" s="1"/>
  <c r="M44" i="1"/>
  <c r="K44" i="1"/>
  <c r="L48" i="1" s="1"/>
  <c r="F4" i="1"/>
  <c r="D3" i="35" s="1"/>
  <c r="F15" i="1"/>
  <c r="F14" i="1"/>
  <c r="F13" i="1"/>
  <c r="F12" i="1"/>
  <c r="F11" i="1"/>
  <c r="F10" i="1"/>
  <c r="F9" i="1"/>
  <c r="F8" i="1"/>
  <c r="F7" i="1"/>
  <c r="F6" i="1"/>
  <c r="F5" i="1"/>
  <c r="N47" i="1" l="1"/>
  <c r="N49" i="1" s="1"/>
  <c r="E18" i="34"/>
  <c r="E20" i="34" s="1"/>
  <c r="E31" i="34" s="1"/>
  <c r="E32" i="34" s="1"/>
  <c r="D19" i="35"/>
  <c r="D17" i="35" s="1"/>
  <c r="D13" i="35" s="1"/>
  <c r="D5" i="35"/>
  <c r="E7" i="34"/>
  <c r="D21" i="35" l="1"/>
  <c r="B7" i="34"/>
  <c r="G15" i="1"/>
  <c r="H15" i="1" s="1"/>
  <c r="G14" i="1"/>
  <c r="H14" i="1" s="1"/>
  <c r="G13" i="1"/>
  <c r="H13" i="1" s="1"/>
  <c r="G12" i="1"/>
  <c r="H12" i="1" s="1"/>
  <c r="G11" i="1"/>
  <c r="H11" i="1" s="1"/>
  <c r="G10" i="1"/>
  <c r="H10" i="1" s="1"/>
  <c r="G9" i="1"/>
  <c r="H9" i="1" s="1"/>
  <c r="G8" i="1"/>
  <c r="H8" i="1" s="1"/>
  <c r="G7" i="1"/>
  <c r="H7" i="1" s="1"/>
  <c r="G6" i="1"/>
  <c r="G19" i="34" s="1"/>
  <c r="G5" i="1"/>
  <c r="H5" i="1" s="1"/>
  <c r="G4" i="1"/>
  <c r="D15" i="1"/>
  <c r="E15" i="1" s="1"/>
  <c r="D14" i="1"/>
  <c r="E14" i="1" s="1"/>
  <c r="D13" i="1"/>
  <c r="E13" i="1" s="1"/>
  <c r="D12" i="1"/>
  <c r="E12" i="1" s="1"/>
  <c r="D11" i="1"/>
  <c r="E11" i="1" s="1"/>
  <c r="D10" i="1"/>
  <c r="D9" i="1"/>
  <c r="D8" i="1"/>
  <c r="D7" i="1"/>
  <c r="D6" i="1"/>
  <c r="D5" i="1"/>
  <c r="H6" i="1" l="1"/>
  <c r="G27" i="34"/>
  <c r="G23" i="34"/>
  <c r="B4" i="35"/>
  <c r="G16" i="35" s="1"/>
  <c r="A26" i="35"/>
  <c r="L5" i="35" s="1"/>
  <c r="B3" i="35"/>
  <c r="H4" i="1"/>
  <c r="R4" i="1"/>
  <c r="B15" i="35" s="1"/>
  <c r="F15" i="35" s="1"/>
  <c r="C26" i="35" s="1"/>
  <c r="G30" i="34" l="1"/>
  <c r="H16" i="1"/>
  <c r="G9" i="35"/>
  <c r="C4" i="35"/>
  <c r="G15" i="35"/>
  <c r="C3" i="35"/>
  <c r="G8" i="35"/>
  <c r="G19" i="35"/>
  <c r="G7" i="35"/>
  <c r="G18" i="35"/>
  <c r="G6" i="35"/>
  <c r="R16" i="1"/>
  <c r="S20" i="1" s="1"/>
  <c r="Q108" i="1"/>
  <c r="U102" i="1"/>
  <c r="U106" i="1" s="1"/>
  <c r="R102" i="1"/>
  <c r="S106" i="1" s="1"/>
  <c r="Q79" i="1"/>
  <c r="U73" i="1"/>
  <c r="U77" i="1" s="1"/>
  <c r="T73" i="1"/>
  <c r="U76" i="1" s="1"/>
  <c r="R73" i="1"/>
  <c r="S77" i="1" s="1"/>
  <c r="Q50" i="1"/>
  <c r="U44" i="1"/>
  <c r="U48" i="1" s="1"/>
  <c r="T44" i="1"/>
  <c r="U47" i="1" s="1"/>
  <c r="R44" i="1"/>
  <c r="S48" i="1" s="1"/>
  <c r="C15" i="1"/>
  <c r="C14" i="1"/>
  <c r="C13" i="1"/>
  <c r="C12" i="1"/>
  <c r="C11" i="1"/>
  <c r="C10" i="1"/>
  <c r="E10" i="1" s="1"/>
  <c r="C9" i="1"/>
  <c r="E9" i="1" s="1"/>
  <c r="C8" i="1"/>
  <c r="C7" i="1"/>
  <c r="E7" i="1" s="1"/>
  <c r="C6" i="1"/>
  <c r="E6" i="1" s="1"/>
  <c r="C5" i="1"/>
  <c r="E5" i="1" s="1"/>
  <c r="C4" i="1"/>
  <c r="G102" i="1"/>
  <c r="G106" i="1" s="1"/>
  <c r="F102" i="1"/>
  <c r="D102" i="1"/>
  <c r="E106" i="1" s="1"/>
  <c r="C102" i="1"/>
  <c r="E104" i="1" s="1"/>
  <c r="G16" i="1"/>
  <c r="G20" i="1" s="1"/>
  <c r="F16" i="1"/>
  <c r="G19" i="1" s="1"/>
  <c r="D16" i="1"/>
  <c r="E20" i="1" s="1"/>
  <c r="E8" i="1" l="1"/>
  <c r="D4" i="35"/>
  <c r="E4" i="35" s="1"/>
  <c r="H9" i="35"/>
  <c r="H16" i="35"/>
  <c r="C19" i="35"/>
  <c r="F19" i="35" s="1"/>
  <c r="D26" i="35" s="1"/>
  <c r="H7" i="35"/>
  <c r="G105" i="1"/>
  <c r="G107" i="1" s="1"/>
  <c r="B26" i="34"/>
  <c r="B28" i="34" s="1"/>
  <c r="H15" i="35"/>
  <c r="U49" i="1"/>
  <c r="U78" i="1"/>
  <c r="E107" i="1"/>
  <c r="G21" i="1"/>
  <c r="C7" i="34"/>
  <c r="C8" i="34"/>
  <c r="C5" i="35"/>
  <c r="N5" i="35"/>
  <c r="F14" i="35"/>
  <c r="E3" i="35"/>
  <c r="H6" i="35"/>
  <c r="H18" i="35"/>
  <c r="E4" i="1"/>
  <c r="E16" i="1" s="1"/>
  <c r="B9" i="34"/>
  <c r="T15" i="1"/>
  <c r="T11" i="1"/>
  <c r="T7" i="1"/>
  <c r="V7" i="1" s="1"/>
  <c r="T12" i="1"/>
  <c r="T14" i="1"/>
  <c r="T10" i="1"/>
  <c r="V10" i="1" s="1"/>
  <c r="T6" i="1"/>
  <c r="V6" i="1" s="1"/>
  <c r="T9" i="1"/>
  <c r="V9" i="1" s="1"/>
  <c r="T8" i="1"/>
  <c r="V8" i="1" s="1"/>
  <c r="V90" i="1"/>
  <c r="T13" i="1"/>
  <c r="S91" i="1"/>
  <c r="S62" i="1"/>
  <c r="S73" i="1" s="1"/>
  <c r="C16" i="1"/>
  <c r="E18" i="1" s="1"/>
  <c r="E21" i="1" s="1"/>
  <c r="C28" i="34" l="1"/>
  <c r="H19" i="35"/>
  <c r="T5" i="1"/>
  <c r="V5" i="1" s="1"/>
  <c r="V91" i="1"/>
  <c r="V102" i="1" s="1"/>
  <c r="H8" i="35"/>
  <c r="F8" i="35"/>
  <c r="E26" i="35" s="1"/>
  <c r="E8" i="35"/>
  <c r="E19" i="35"/>
  <c r="C17" i="35"/>
  <c r="O5" i="35"/>
  <c r="E5" i="35"/>
  <c r="F5" i="35"/>
  <c r="Q6" i="1"/>
  <c r="S6" i="1" s="1"/>
  <c r="Q8" i="1"/>
  <c r="S8" i="1" s="1"/>
  <c r="Q4" i="1"/>
  <c r="S4" i="1" s="1"/>
  <c r="S90" i="1"/>
  <c r="S102" i="1" s="1"/>
  <c r="Q12" i="1"/>
  <c r="T4" i="1"/>
  <c r="V4" i="1" s="1"/>
  <c r="T102" i="1"/>
  <c r="U105" i="1" s="1"/>
  <c r="U107" i="1" s="1"/>
  <c r="Q5" i="1"/>
  <c r="S5" i="1" s="1"/>
  <c r="Q73" i="1"/>
  <c r="S75" i="1" s="1"/>
  <c r="S78" i="1" s="1"/>
  <c r="Q9" i="1"/>
  <c r="S9" i="1" s="1"/>
  <c r="Q15" i="1"/>
  <c r="Q102" i="1"/>
  <c r="S104" i="1" s="1"/>
  <c r="S107" i="1" s="1"/>
  <c r="Q14" i="1"/>
  <c r="Q10" i="1"/>
  <c r="S10" i="1" s="1"/>
  <c r="Q13" i="1"/>
  <c r="Q7" i="1"/>
  <c r="S7" i="1" s="1"/>
  <c r="Q44" i="1"/>
  <c r="S46" i="1" s="1"/>
  <c r="S49" i="1" s="1"/>
  <c r="Q11" i="1"/>
  <c r="V16" i="1" l="1"/>
  <c r="S16" i="1"/>
  <c r="P5" i="35"/>
  <c r="E17" i="35"/>
  <c r="C13" i="35"/>
  <c r="C21" i="35" s="1"/>
  <c r="C9" i="34"/>
  <c r="G73" i="1"/>
  <c r="G77" i="1" s="1"/>
  <c r="F73" i="1"/>
  <c r="D73" i="1"/>
  <c r="E77" i="1" s="1"/>
  <c r="C73" i="1"/>
  <c r="G76" i="1" l="1"/>
  <c r="G78" i="1" s="1"/>
  <c r="B22" i="34"/>
  <c r="B24" i="34" s="1"/>
  <c r="B31" i="34" s="1"/>
  <c r="B32" i="34" s="1"/>
  <c r="E75" i="1"/>
  <c r="E78" i="1" s="1"/>
  <c r="E13" i="35"/>
  <c r="E21" i="35"/>
  <c r="B26" i="35" s="1"/>
  <c r="B8" i="34"/>
  <c r="E11" i="34"/>
  <c r="C24" i="34" l="1"/>
  <c r="M5" i="35"/>
  <c r="S5" i="35" s="1"/>
  <c r="H26" i="35"/>
  <c r="C11" i="34"/>
  <c r="AA16" i="1" l="1"/>
  <c r="AB19" i="1" s="1"/>
  <c r="AB21" i="1" s="1"/>
  <c r="T16" i="1" l="1"/>
  <c r="U19" i="1" s="1"/>
  <c r="U21" i="1" s="1"/>
  <c r="K16" i="1"/>
  <c r="L20" i="1" s="1"/>
  <c r="M16" i="1"/>
  <c r="N19" i="1" s="1"/>
  <c r="B11" i="34" l="1"/>
  <c r="G18" i="34" s="1"/>
  <c r="G26" i="34" l="1"/>
  <c r="G28" i="34" s="1"/>
  <c r="H28" i="34" s="1"/>
  <c r="I28" i="34" s="1"/>
  <c r="J28" i="34" s="1"/>
  <c r="M28" i="34" s="1"/>
  <c r="N28" i="34" s="1"/>
  <c r="G22" i="34"/>
  <c r="G24" i="34" s="1"/>
  <c r="H24" i="34" s="1"/>
  <c r="I24" i="34" s="1"/>
  <c r="J24" i="34" s="1"/>
  <c r="M24" i="34" s="1"/>
  <c r="N24" i="34" s="1"/>
  <c r="G20" i="34"/>
  <c r="G7" i="34"/>
  <c r="G9" i="34"/>
  <c r="G8" i="34"/>
  <c r="Q16" i="1"/>
  <c r="S18" i="1" s="1"/>
  <c r="S21" i="1" s="1"/>
  <c r="G31" i="34" l="1"/>
  <c r="G32" i="34" s="1"/>
  <c r="H20" i="34"/>
  <c r="I20" i="34" s="1"/>
  <c r="J20" i="34" s="1"/>
  <c r="M20" i="34" s="1"/>
  <c r="N20" i="34" s="1"/>
  <c r="G10" i="34"/>
  <c r="N16" i="1"/>
  <c r="N20" i="1" s="1"/>
  <c r="N21" i="1" s="1"/>
  <c r="X16" i="1" l="1"/>
  <c r="Z18" i="1" s="1"/>
  <c r="Z21" i="1" s="1"/>
  <c r="G14" i="34" l="1"/>
  <c r="J8" i="1" l="1"/>
  <c r="L8" i="1" s="1"/>
  <c r="J44" i="1"/>
  <c r="L46" i="1" s="1"/>
  <c r="L49" i="1" s="1"/>
  <c r="J6" i="1"/>
  <c r="L6" i="1" s="1"/>
  <c r="L16" i="1" l="1"/>
  <c r="J16" i="1"/>
  <c r="L18" i="1" l="1"/>
  <c r="L21" i="1" s="1"/>
  <c r="X22" i="1"/>
  <c r="Q22" i="1"/>
  <c r="AF20" i="1" l="1"/>
  <c r="AF21" i="1"/>
  <c r="AF22" i="1" l="1"/>
  <c r="AF24" i="1"/>
  <c r="F17" i="35"/>
  <c r="B13" i="35"/>
  <c r="B21" i="35" s="1"/>
  <c r="F13" i="35" l="1"/>
  <c r="F21" i="35" s="1"/>
</calcChain>
</file>

<file path=xl/comments1.xml><?xml version="1.0" encoding="utf-8"?>
<comments xmlns="http://schemas.openxmlformats.org/spreadsheetml/2006/main">
  <authors>
    <author>Scott, Jeanie (138-Extern)</author>
    <author>Malmquist, Nicholas (138)</author>
  </authors>
  <commentList>
    <comment ref="C4" authorId="0" shapeId="0">
      <text>
        <r>
          <rPr>
            <b/>
            <sz val="9"/>
            <color indexed="81"/>
            <rFont val="Tahoma"/>
            <family val="2"/>
          </rPr>
          <t>Scott, Jeanie (138-Extern):</t>
        </r>
        <r>
          <rPr>
            <sz val="9"/>
            <color indexed="81"/>
            <rFont val="Tahoma"/>
            <family val="2"/>
          </rPr>
          <t xml:space="preserve">
Sum of models from below</t>
        </r>
      </text>
    </comment>
    <comment ref="D4" authorId="0" shapeId="0">
      <text>
        <r>
          <rPr>
            <b/>
            <sz val="9"/>
            <color indexed="81"/>
            <rFont val="Tahoma"/>
            <family val="2"/>
          </rPr>
          <t>Scott, Jeanie (138-Extern):</t>
        </r>
        <r>
          <rPr>
            <sz val="9"/>
            <color indexed="81"/>
            <rFont val="Tahoma"/>
            <family val="2"/>
          </rPr>
          <t xml:space="preserve">
Sum of models from below</t>
        </r>
      </text>
    </comment>
    <comment ref="F4" authorId="0" shapeId="0">
      <text>
        <r>
          <rPr>
            <b/>
            <sz val="9"/>
            <color indexed="81"/>
            <rFont val="Tahoma"/>
            <family val="2"/>
          </rPr>
          <t>Scott, Jeanie (138-Extern):</t>
        </r>
        <r>
          <rPr>
            <sz val="9"/>
            <color indexed="81"/>
            <rFont val="Tahoma"/>
            <family val="2"/>
          </rPr>
          <t xml:space="preserve">
Sum of models from below</t>
        </r>
      </text>
    </comment>
    <comment ref="G4" authorId="0" shapeId="0">
      <text>
        <r>
          <rPr>
            <b/>
            <sz val="9"/>
            <color indexed="81"/>
            <rFont val="Tahoma"/>
            <family val="2"/>
          </rPr>
          <t>Scott, Jeanie (138-Extern):</t>
        </r>
        <r>
          <rPr>
            <sz val="9"/>
            <color indexed="81"/>
            <rFont val="Tahoma"/>
            <family val="2"/>
          </rPr>
          <t xml:space="preserve">
Sum of models from below</t>
        </r>
      </text>
    </comment>
    <comment ref="J4" authorId="0" shapeId="0">
      <text>
        <r>
          <rPr>
            <b/>
            <sz val="9"/>
            <color indexed="81"/>
            <rFont val="Tahoma"/>
            <family val="2"/>
          </rPr>
          <t>Scott, Jeanie (138-Extern):</t>
        </r>
        <r>
          <rPr>
            <sz val="9"/>
            <color indexed="81"/>
            <rFont val="Tahoma"/>
            <family val="2"/>
          </rPr>
          <t xml:space="preserve">
Sum of models from below</t>
        </r>
      </text>
    </comment>
    <comment ref="K4" authorId="0" shapeId="0">
      <text>
        <r>
          <rPr>
            <b/>
            <sz val="9"/>
            <color indexed="81"/>
            <rFont val="Tahoma"/>
            <family val="2"/>
          </rPr>
          <t>Scott, Jeanie (138-Extern):</t>
        </r>
        <r>
          <rPr>
            <sz val="9"/>
            <color indexed="81"/>
            <rFont val="Tahoma"/>
            <family val="2"/>
          </rPr>
          <t xml:space="preserve">
Sum of models from below
</t>
        </r>
      </text>
    </comment>
    <comment ref="N4" authorId="0" shapeId="0">
      <text>
        <r>
          <rPr>
            <b/>
            <sz val="9"/>
            <color indexed="81"/>
            <rFont val="Tahoma"/>
            <family val="2"/>
          </rPr>
          <t>Scott, Jeanie (138-Extern):</t>
        </r>
        <r>
          <rPr>
            <sz val="9"/>
            <color indexed="81"/>
            <rFont val="Tahoma"/>
            <family val="2"/>
          </rPr>
          <t xml:space="preserve">
Sum of models from below</t>
        </r>
      </text>
    </comment>
    <comment ref="R4" authorId="0" shapeId="0">
      <text>
        <r>
          <rPr>
            <b/>
            <sz val="9"/>
            <color indexed="81"/>
            <rFont val="Tahoma"/>
            <family val="2"/>
          </rPr>
          <t>Scott, Jeanie (138-Extern):</t>
        </r>
        <r>
          <rPr>
            <sz val="9"/>
            <color indexed="81"/>
            <rFont val="Tahoma"/>
            <family val="2"/>
          </rPr>
          <t xml:space="preserve">
Sum of models below</t>
        </r>
      </text>
    </comment>
    <comment ref="U4" authorId="0" shapeId="0">
      <text>
        <r>
          <rPr>
            <b/>
            <sz val="9"/>
            <color indexed="81"/>
            <rFont val="Tahoma"/>
            <family val="2"/>
          </rPr>
          <t>Scott, Jeanie (138-Extern):</t>
        </r>
        <r>
          <rPr>
            <sz val="9"/>
            <color indexed="81"/>
            <rFont val="Tahoma"/>
            <family val="2"/>
          </rPr>
          <t xml:space="preserve">
Sum of models below</t>
        </r>
      </text>
    </comment>
    <comment ref="X4" authorId="0" shapeId="0">
      <text>
        <r>
          <rPr>
            <b/>
            <sz val="9"/>
            <color indexed="81"/>
            <rFont val="Tahoma"/>
            <family val="2"/>
          </rPr>
          <t>Scott, Jeanie (138-Extern):</t>
        </r>
        <r>
          <rPr>
            <sz val="9"/>
            <color indexed="81"/>
            <rFont val="Tahoma"/>
            <family val="2"/>
          </rPr>
          <t xml:space="preserve">
File: Approved 2021 EBIT target
Source: line 79, FC Billed Profit</t>
        </r>
      </text>
    </comment>
    <comment ref="Y4" authorId="0" shapeId="0">
      <text>
        <r>
          <rPr>
            <b/>
            <sz val="9"/>
            <color indexed="81"/>
            <rFont val="Tahoma"/>
            <family val="2"/>
          </rPr>
          <t>Scott, Jeanie (138-Extern):</t>
        </r>
        <r>
          <rPr>
            <sz val="9"/>
            <color indexed="81"/>
            <rFont val="Tahoma"/>
            <family val="2"/>
          </rPr>
          <t xml:space="preserve">
File: Month Sales file
Data: Grand total line, Sum of Markup</t>
        </r>
      </text>
    </comment>
    <comment ref="AA4" authorId="0" shapeId="0">
      <text>
        <r>
          <rPr>
            <b/>
            <sz val="9"/>
            <color indexed="81"/>
            <rFont val="Tahoma"/>
            <family val="2"/>
          </rPr>
          <t>Scott, Jeanie (138-Extern):</t>
        </r>
        <r>
          <rPr>
            <sz val="9"/>
            <color indexed="81"/>
            <rFont val="Tahoma"/>
            <family val="2"/>
          </rPr>
          <t xml:space="preserve">
File: Approved 2021 EBIT target
Source: line 65, Adjusted EBIT current</t>
        </r>
      </text>
    </comment>
    <comment ref="AB4" authorId="0" shapeId="0">
      <text>
        <r>
          <rPr>
            <b/>
            <sz val="9"/>
            <color indexed="81"/>
            <rFont val="Tahoma"/>
            <family val="2"/>
          </rPr>
          <t>Scott, Jeanie (138-Extern):
File</t>
        </r>
        <r>
          <rPr>
            <sz val="9"/>
            <color indexed="81"/>
            <rFont val="Tahoma"/>
            <family val="2"/>
          </rPr>
          <t>: level10
Location: Column A = "* EBIT", value from column C</t>
        </r>
      </text>
    </comment>
    <comment ref="AK5" authorId="1" shapeId="0">
      <text>
        <r>
          <rPr>
            <b/>
            <sz val="9"/>
            <color indexed="81"/>
            <rFont val="Tahoma"/>
            <family val="2"/>
          </rPr>
          <t>Malmquist, Nicholas (138):</t>
        </r>
        <r>
          <rPr>
            <sz val="9"/>
            <color indexed="81"/>
            <rFont val="Tahoma"/>
            <family val="2"/>
          </rPr>
          <t xml:space="preserve">
Change this to current month that this data represents</t>
        </r>
      </text>
    </comment>
    <comment ref="J26" authorId="1" shapeId="0">
      <text>
        <r>
          <rPr>
            <b/>
            <sz val="9"/>
            <color indexed="81"/>
            <rFont val="Tahoma"/>
            <family val="2"/>
          </rPr>
          <t>Malmquist, Nicholas (138):</t>
        </r>
        <r>
          <rPr>
            <sz val="9"/>
            <color indexed="81"/>
            <rFont val="Tahoma"/>
            <family val="2"/>
          </rPr>
          <t xml:space="preserve">
NEVER CHANGE THIS CELL</t>
        </r>
      </text>
    </comment>
    <comment ref="N26" authorId="1" shapeId="0">
      <text>
        <r>
          <rPr>
            <b/>
            <sz val="9"/>
            <color indexed="81"/>
            <rFont val="Tahoma"/>
            <family val="2"/>
          </rPr>
          <t>Malmquist, Nicholas (138):</t>
        </r>
        <r>
          <rPr>
            <sz val="9"/>
            <color indexed="81"/>
            <rFont val="Tahoma"/>
            <family val="2"/>
          </rPr>
          <t xml:space="preserve">
Approved EBIT target yellow TP-OH</t>
        </r>
      </text>
    </comment>
    <comment ref="N27" authorId="1" shapeId="0">
      <text>
        <r>
          <rPr>
            <b/>
            <sz val="9"/>
            <color indexed="81"/>
            <rFont val="Tahoma"/>
            <family val="2"/>
          </rPr>
          <t>Malmquist, Nicholas (138):</t>
        </r>
        <r>
          <rPr>
            <sz val="9"/>
            <color indexed="81"/>
            <rFont val="Tahoma"/>
            <family val="2"/>
          </rPr>
          <t xml:space="preserve">
Approved EBIT target Highlited yellow</t>
        </r>
      </text>
    </comment>
    <comment ref="C32" authorId="0" shapeId="0">
      <text>
        <r>
          <rPr>
            <b/>
            <sz val="9"/>
            <color indexed="81"/>
            <rFont val="Tahoma"/>
            <family val="2"/>
          </rPr>
          <t>Scott, Jeanie (138-Extern):</t>
        </r>
        <r>
          <rPr>
            <sz val="9"/>
            <color indexed="81"/>
            <rFont val="Tahoma"/>
            <family val="2"/>
          </rPr>
          <t xml:space="preserve">
File: OP MOAB.xlsx
Data: Final OK BR167 Totals for V167</t>
        </r>
      </text>
    </comment>
    <comment ref="D32" authorId="0" shapeId="0">
      <text>
        <r>
          <rPr>
            <b/>
            <sz val="9"/>
            <color indexed="81"/>
            <rFont val="Tahoma"/>
            <family val="2"/>
          </rPr>
          <t>Scott, Jeanie (138-Extern):</t>
        </r>
        <r>
          <rPr>
            <sz val="9"/>
            <color indexed="81"/>
            <rFont val="Tahoma"/>
            <family val="2"/>
          </rPr>
          <t xml:space="preserve">
File: Current Month Production
Data: Pivot tab, count of objects column for each model</t>
        </r>
      </text>
    </comment>
    <comment ref="F32" authorId="0" shapeId="0">
      <text>
        <r>
          <rPr>
            <b/>
            <sz val="9"/>
            <color indexed="81"/>
            <rFont val="Tahoma"/>
            <family val="2"/>
          </rPr>
          <t>Scott, Jeanie (138-Extern):</t>
        </r>
        <r>
          <rPr>
            <sz val="9"/>
            <color indexed="81"/>
            <rFont val="Tahoma"/>
            <family val="2"/>
          </rPr>
          <t xml:space="preserve">
File: Approved EBIT target
Data: Highlighted blue subtotal line by model, by month</t>
        </r>
      </text>
    </comment>
    <comment ref="G32" authorId="0" shapeId="0">
      <text>
        <r>
          <rPr>
            <b/>
            <sz val="9"/>
            <color indexed="81"/>
            <rFont val="Tahoma"/>
            <family val="2"/>
          </rPr>
          <t>Scott, Jeanie (138-Extern):</t>
        </r>
        <r>
          <rPr>
            <sz val="9"/>
            <color indexed="81"/>
            <rFont val="Tahoma"/>
            <family val="2"/>
          </rPr>
          <t xml:space="preserve">
File: Current Month Sales
Data: Pivot tab, Sum of Sales Quantity for each model</t>
        </r>
      </text>
    </comment>
    <comment ref="J32" authorId="0" shapeId="0">
      <text>
        <r>
          <rPr>
            <b/>
            <sz val="9"/>
            <color indexed="81"/>
            <rFont val="Tahoma"/>
            <family val="2"/>
          </rPr>
          <t>Scott, Jeanie (138-Extern):</t>
        </r>
        <r>
          <rPr>
            <sz val="9"/>
            <color indexed="81"/>
            <rFont val="Tahoma"/>
            <family val="2"/>
          </rPr>
          <t xml:space="preserve">
formula
</t>
        </r>
      </text>
    </comment>
    <comment ref="K32" authorId="0" shapeId="0">
      <text>
        <r>
          <rPr>
            <b/>
            <sz val="9"/>
            <color indexed="81"/>
            <rFont val="Tahoma"/>
            <family val="2"/>
          </rPr>
          <t>Scott, Jeanie (138-Extern):</t>
        </r>
        <r>
          <rPr>
            <sz val="9"/>
            <color indexed="81"/>
            <rFont val="Tahoma"/>
            <family val="2"/>
          </rPr>
          <t xml:space="preserve">
File: Current Month Production
Data: Pivot tab, Sum of OH column for correct model</t>
        </r>
      </text>
    </comment>
    <comment ref="M32" authorId="0" shapeId="0">
      <text>
        <r>
          <rPr>
            <b/>
            <sz val="9"/>
            <color indexed="81"/>
            <rFont val="Tahoma"/>
            <family val="2"/>
          </rPr>
          <t>Scott, Jeanie (138-Extern):</t>
        </r>
        <r>
          <rPr>
            <sz val="9"/>
            <color indexed="81"/>
            <rFont val="Tahoma"/>
            <family val="2"/>
          </rPr>
          <t xml:space="preserve">
formula
</t>
        </r>
      </text>
    </comment>
    <comment ref="N32" authorId="0" shapeId="0">
      <text>
        <r>
          <rPr>
            <b/>
            <sz val="9"/>
            <color indexed="81"/>
            <rFont val="Tahoma"/>
            <family val="2"/>
          </rPr>
          <t>Scott, Jeanie (138-Extern):</t>
        </r>
        <r>
          <rPr>
            <sz val="9"/>
            <color indexed="81"/>
            <rFont val="Tahoma"/>
            <family val="2"/>
          </rPr>
          <t xml:space="preserve">
File: Current Month Sales
Data: Pivot tab, Sum of LOH for each model</t>
        </r>
      </text>
    </comment>
    <comment ref="Q32" authorId="0" shapeId="0">
      <text>
        <r>
          <rPr>
            <b/>
            <sz val="9"/>
            <color indexed="81"/>
            <rFont val="Tahoma"/>
            <family val="2"/>
          </rPr>
          <t>Scott, Jeanie (138-Extern):</t>
        </r>
        <r>
          <rPr>
            <sz val="9"/>
            <color indexed="81"/>
            <rFont val="Tahoma"/>
            <family val="2"/>
          </rPr>
          <t xml:space="preserve">
Formula based on cell R47 input value</t>
        </r>
      </text>
    </comment>
    <comment ref="R32" authorId="0" shapeId="0">
      <text>
        <r>
          <rPr>
            <b/>
            <sz val="9"/>
            <color indexed="81"/>
            <rFont val="Tahoma"/>
            <family val="2"/>
          </rPr>
          <t>Scott, Jeanie (138-Extern):</t>
        </r>
        <r>
          <rPr>
            <sz val="9"/>
            <color indexed="81"/>
            <rFont val="Tahoma"/>
            <family val="2"/>
          </rPr>
          <t xml:space="preserve">
File: Current Month Production
Pivot tab: For each model, Sum of COM</t>
        </r>
      </text>
    </comment>
    <comment ref="U32" authorId="0" shapeId="0">
      <text>
        <r>
          <rPr>
            <b/>
            <sz val="9"/>
            <color indexed="81"/>
            <rFont val="Tahoma"/>
            <family val="2"/>
          </rPr>
          <t>Scott, Jeanie (138-Extern):</t>
        </r>
        <r>
          <rPr>
            <sz val="9"/>
            <color indexed="81"/>
            <rFont val="Tahoma"/>
            <family val="2"/>
          </rPr>
          <t xml:space="preserve">
File: Current Month Sales
Pivot tab: for each model, Sum of Material Basis Price</t>
        </r>
      </text>
    </comment>
    <comment ref="R54" authorId="0" shapeId="0">
      <text>
        <r>
          <rPr>
            <b/>
            <sz val="9"/>
            <color indexed="81"/>
            <rFont val="Tahoma"/>
            <family val="2"/>
          </rPr>
          <t>Scott, Jeanie (138-Extern):</t>
        </r>
        <r>
          <rPr>
            <sz val="9"/>
            <color indexed="81"/>
            <rFont val="Tahoma"/>
            <family val="2"/>
          </rPr>
          <t xml:space="preserve">
File: 2021 Material costs
For each model, highlighted cell under Avg p vehicle Total column</t>
        </r>
      </text>
    </comment>
    <comment ref="C61" authorId="0" shapeId="0">
      <text>
        <r>
          <rPr>
            <b/>
            <sz val="9"/>
            <color indexed="81"/>
            <rFont val="Tahoma"/>
            <family val="2"/>
          </rPr>
          <t>Scott, Jeanie (138-Extern):</t>
        </r>
        <r>
          <rPr>
            <sz val="9"/>
            <color indexed="81"/>
            <rFont val="Tahoma"/>
            <family val="2"/>
          </rPr>
          <t xml:space="preserve">
File: 1020A 2021 POR.pdf
Data: Final OK BR167 Totals for C167</t>
        </r>
      </text>
    </comment>
    <comment ref="D61" authorId="0" shapeId="0">
      <text>
        <r>
          <rPr>
            <b/>
            <sz val="9"/>
            <color indexed="81"/>
            <rFont val="Tahoma"/>
            <family val="2"/>
          </rPr>
          <t>Scott, Jeanie (138-Extern):</t>
        </r>
        <r>
          <rPr>
            <sz val="9"/>
            <color indexed="81"/>
            <rFont val="Tahoma"/>
            <family val="2"/>
          </rPr>
          <t xml:space="preserve">
File: Current Month Production
Data: Pivot tab, count of objects column for each model</t>
        </r>
      </text>
    </comment>
    <comment ref="K61" authorId="0" shapeId="0">
      <text>
        <r>
          <rPr>
            <b/>
            <sz val="9"/>
            <color indexed="81"/>
            <rFont val="Tahoma"/>
            <family val="2"/>
          </rPr>
          <t>Scott, Jeanie (138-Extern):</t>
        </r>
        <r>
          <rPr>
            <sz val="9"/>
            <color indexed="81"/>
            <rFont val="Tahoma"/>
            <family val="2"/>
          </rPr>
          <t xml:space="preserve">
File: Current Month Production
Data: Pivot tab, Sum of LOH column for correct model</t>
        </r>
      </text>
    </comment>
    <comment ref="C90" authorId="0" shapeId="0">
      <text>
        <r>
          <rPr>
            <b/>
            <sz val="9"/>
            <color indexed="81"/>
            <rFont val="Tahoma"/>
            <family val="2"/>
          </rPr>
          <t>Scott, Jeanie (138-Extern):</t>
        </r>
        <r>
          <rPr>
            <sz val="9"/>
            <color indexed="81"/>
            <rFont val="Tahoma"/>
            <family val="2"/>
          </rPr>
          <t xml:space="preserve">
File: 1020A 2021 POR.pdf
Data: Final OK BR167 Totals for X167</t>
        </r>
      </text>
    </comment>
    <comment ref="D90" authorId="0" shapeId="0">
      <text>
        <r>
          <rPr>
            <b/>
            <sz val="9"/>
            <color indexed="81"/>
            <rFont val="Tahoma"/>
            <family val="2"/>
          </rPr>
          <t>Scott, Jeanie (138-Extern):</t>
        </r>
        <r>
          <rPr>
            <sz val="9"/>
            <color indexed="81"/>
            <rFont val="Tahoma"/>
            <family val="2"/>
          </rPr>
          <t xml:space="preserve">
File: Current Month Production
Data: Pivot tab, count of objects column for each model</t>
        </r>
      </text>
    </comment>
    <comment ref="K90" authorId="0" shapeId="0">
      <text>
        <r>
          <rPr>
            <b/>
            <sz val="9"/>
            <color indexed="81"/>
            <rFont val="Tahoma"/>
            <family val="2"/>
          </rPr>
          <t>Scott, Jeanie (138-Extern):</t>
        </r>
        <r>
          <rPr>
            <sz val="9"/>
            <color indexed="81"/>
            <rFont val="Tahoma"/>
            <family val="2"/>
          </rPr>
          <t xml:space="preserve">
File: Current Month Production
Data: Pivot tab, Sum of LOH column for correct model</t>
        </r>
      </text>
    </comment>
  </commentList>
</comments>
</file>

<file path=xl/sharedStrings.xml><?xml version="1.0" encoding="utf-8"?>
<sst xmlns="http://schemas.openxmlformats.org/spreadsheetml/2006/main" count="393" uniqueCount="188">
  <si>
    <t>Total</t>
  </si>
  <si>
    <t>Deviation</t>
  </si>
  <si>
    <t>Deviation %</t>
  </si>
  <si>
    <t>Volume sensitivy</t>
  </si>
  <si>
    <t>Deviation in Margin</t>
  </si>
  <si>
    <t>Check</t>
  </si>
  <si>
    <t>Jan</t>
  </si>
  <si>
    <t>Feb</t>
  </si>
  <si>
    <t>Mar</t>
  </si>
  <si>
    <t>Apr</t>
  </si>
  <si>
    <t>May</t>
  </si>
  <si>
    <t>June</t>
  </si>
  <si>
    <t>July</t>
  </si>
  <si>
    <t>Forecasted Production</t>
  </si>
  <si>
    <t>Actual Production</t>
  </si>
  <si>
    <t>Actual Sales</t>
  </si>
  <si>
    <t xml:space="preserve">Forecasted Sales </t>
  </si>
  <si>
    <t>Forecasted Billed LOH</t>
  </si>
  <si>
    <t xml:space="preserve">Actual Billed LOH </t>
  </si>
  <si>
    <t>Forecasted Billed Profit</t>
  </si>
  <si>
    <t xml:space="preserve">Actually Billed Profit </t>
  </si>
  <si>
    <t>Forecasted EBIT</t>
  </si>
  <si>
    <t>Month</t>
  </si>
  <si>
    <t>Aug</t>
  </si>
  <si>
    <t>Sep</t>
  </si>
  <si>
    <t>Oct</t>
  </si>
  <si>
    <t>Nov</t>
  </si>
  <si>
    <t>Dec</t>
  </si>
  <si>
    <t>Date</t>
  </si>
  <si>
    <t>E3      FMC/ONC</t>
  </si>
  <si>
    <t>E4      FMC/ONC</t>
  </si>
  <si>
    <t>Specialist       FMC/ONC</t>
  </si>
  <si>
    <t>Model</t>
  </si>
  <si>
    <t>V167</t>
  </si>
  <si>
    <t>C167</t>
  </si>
  <si>
    <t>E2      FMC/ON</t>
  </si>
  <si>
    <t>Transfer Price</t>
  </si>
  <si>
    <t>Profit Target</t>
  </si>
  <si>
    <t>Totals</t>
  </si>
  <si>
    <t>Markup %</t>
  </si>
  <si>
    <t>Markup $</t>
  </si>
  <si>
    <t>Price/Veh</t>
  </si>
  <si>
    <t>LOH per Vehicle</t>
  </si>
  <si>
    <t>V167 Mat Cost/veh</t>
  </si>
  <si>
    <t xml:space="preserve"> Total Material Costs</t>
  </si>
  <si>
    <t>Forecasted Material Cost</t>
  </si>
  <si>
    <t>Actual Material Cost</t>
  </si>
  <si>
    <t>Forecasted Billed Mat Cost</t>
  </si>
  <si>
    <t>Actual Billed Mat Cost</t>
  </si>
  <si>
    <t>C167 Mat Cost/veh</t>
  </si>
  <si>
    <t>X167 Mat Cost/veh</t>
  </si>
  <si>
    <t>Material Cost Per Vehicle</t>
  </si>
  <si>
    <t>By Model</t>
  </si>
  <si>
    <t>Sales Volume</t>
  </si>
  <si>
    <t>Actual EBIT</t>
  </si>
  <si>
    <t>Variance (Actual - Forecast)</t>
  </si>
  <si>
    <t>LOH per Vehicle, TP</t>
  </si>
  <si>
    <t>LOH per Vehicle, Absorption</t>
  </si>
  <si>
    <t>Level 10</t>
  </si>
  <si>
    <t>planned @actual volume</t>
  </si>
  <si>
    <t>Difference on Volume</t>
  </si>
  <si>
    <t>Other Diff.</t>
  </si>
  <si>
    <t>Actual unit rate</t>
  </si>
  <si>
    <t xml:space="preserve">Planned unit rate @actual volume </t>
  </si>
  <si>
    <t>Actual unit rate-last month</t>
  </si>
  <si>
    <t>Sale Units</t>
  </si>
  <si>
    <t>Profit Forecast</t>
  </si>
  <si>
    <t>Volume Variance</t>
  </si>
  <si>
    <t>Material cost variances</t>
  </si>
  <si>
    <t>Overhead variance</t>
  </si>
  <si>
    <t>markup variance</t>
  </si>
  <si>
    <t>OPEX variance</t>
  </si>
  <si>
    <t>Others</t>
  </si>
  <si>
    <t>EBIT</t>
  </si>
  <si>
    <t>Production Units</t>
  </si>
  <si>
    <t>Sales</t>
  </si>
  <si>
    <t>Material Cost (TP)</t>
  </si>
  <si>
    <t>LOH (TP)</t>
  </si>
  <si>
    <t xml:space="preserve">Markup </t>
  </si>
  <si>
    <t xml:space="preserve">OB Freight </t>
  </si>
  <si>
    <t>Actual OPEX</t>
  </si>
  <si>
    <t>Change in inventory</t>
  </si>
  <si>
    <t>increase inventory</t>
  </si>
  <si>
    <t>Material cost</t>
  </si>
  <si>
    <t>OH</t>
  </si>
  <si>
    <t>decrease inventory</t>
  </si>
  <si>
    <t>Think-Cell Input For Closing Presentation</t>
  </si>
  <si>
    <t>Month to Analyze:</t>
  </si>
  <si>
    <t>TP OH Rate</t>
  </si>
  <si>
    <t>TP Material Cost Rates</t>
  </si>
  <si>
    <t>X167</t>
  </si>
  <si>
    <t>OP/EA (Target)</t>
  </si>
  <si>
    <t>TP Markup Rate</t>
  </si>
  <si>
    <t>Actuals</t>
  </si>
  <si>
    <t>Costing OH Rate</t>
  </si>
  <si>
    <t>Costing MC Rate</t>
  </si>
  <si>
    <t>OB Freight Actuals</t>
  </si>
  <si>
    <t>Import File Checklist Update</t>
  </si>
  <si>
    <t>This Data Comes from Approved EBIT Target.xlsx</t>
  </si>
  <si>
    <t>Change in Unfinished and WIP</t>
  </si>
  <si>
    <t>Selection Button</t>
  </si>
  <si>
    <t>Input Files:</t>
  </si>
  <si>
    <t>Bring Actuals in from this month:</t>
  </si>
  <si>
    <t>2021 Totals</t>
  </si>
  <si>
    <t>Total Volumes</t>
  </si>
  <si>
    <t>Forecasted Production LOH</t>
  </si>
  <si>
    <t>Actual Production LOH</t>
  </si>
  <si>
    <t>Remaining to Absorb/Bill</t>
  </si>
  <si>
    <t>Total Volume, Prod</t>
  </si>
  <si>
    <t>Total Volume, Sales</t>
  </si>
  <si>
    <t>Total Volume YTD</t>
  </si>
  <si>
    <t>Remaining to Build/Sell</t>
  </si>
  <si>
    <t>Total Production LOH</t>
  </si>
  <si>
    <t>Total Billed LOH</t>
  </si>
  <si>
    <t>Total LOH Absorbed/Billed YTD</t>
  </si>
  <si>
    <t>Total Forecasted Material Costs</t>
  </si>
  <si>
    <t>Total Billed Material Costs</t>
  </si>
  <si>
    <t>Total Mat Costs Prod/Billed YTD</t>
  </si>
  <si>
    <t>Remaining to Produce/Bill</t>
  </si>
  <si>
    <t>Total Forecasted Profit</t>
  </si>
  <si>
    <t>Total Forecasted EBIT</t>
  </si>
  <si>
    <t>Total Actual Profit/EBIT YTD</t>
  </si>
  <si>
    <t>Remaining to Realize</t>
  </si>
  <si>
    <t>C167 Forecasted Material Costs</t>
  </si>
  <si>
    <t>C167 Billed Material Costs</t>
  </si>
  <si>
    <t>C167 Mat Costs Prod/Billed YTD</t>
  </si>
  <si>
    <t>C167 Remaining to Produce/Bill</t>
  </si>
  <si>
    <t>V167 Forecasted Material Costs</t>
  </si>
  <si>
    <t>V167 Billed Material Costs</t>
  </si>
  <si>
    <t>V167 Mat Costs Prod/Billed YTD</t>
  </si>
  <si>
    <t>V167 Remaining to Produce/Bill</t>
  </si>
  <si>
    <t>X167 Forecasted Material Costs</t>
  </si>
  <si>
    <t>X167 Billed Material Costs</t>
  </si>
  <si>
    <t>X167 Mat Costs Prod/Billed YTD</t>
  </si>
  <si>
    <t>X167 Remaining to Produce/Bill</t>
  </si>
  <si>
    <r>
      <t xml:space="preserve">Directions: </t>
    </r>
    <r>
      <rPr>
        <sz val="11"/>
        <color theme="1"/>
        <rFont val="Calibri"/>
        <family val="2"/>
        <scheme val="minor"/>
      </rPr>
      <t>Make sure to overwrite all files 
before you start pressing buttons the buttons. If you happen to press the button before overwriting, that is okay. Just go back and make sure that these four files are updated WITH the currect month inputed in the workbooks corresponding Cell. Be very particular and have attension to detail when updating the input files.  The code is made so it searches for line descriptions and picks a cell that is located relative to it, so cell location may not matter too much, BUT the odds of error is increased when input file cell locations to change. DO NOT change the file paths or directories of the input files. If the file path does change, Go into the VBA editor, Ctrl +  F and search for "Workbooks.Open", press next. This should take you to all file paths of the input files, go through all of them and change file paths accordingly.
Throughout the year, OP Forecast numbers will rarely change, so there is hardly a reason to be changing those input files anyway</t>
    </r>
  </si>
  <si>
    <t>EA1 2021</t>
  </si>
  <si>
    <t>Source Data Updates</t>
  </si>
  <si>
    <t>Updated?</t>
  </si>
  <si>
    <t>Data</t>
  </si>
  <si>
    <t>Source</t>
  </si>
  <si>
    <t>yes</t>
  </si>
  <si>
    <t>Production Volume</t>
  </si>
  <si>
    <t>Approved EBIT target file</t>
  </si>
  <si>
    <t>EWPP 03</t>
  </si>
  <si>
    <t>Material Costs</t>
  </si>
  <si>
    <t>Josh Culver</t>
  </si>
  <si>
    <t>Input Location</t>
  </si>
  <si>
    <t>Ying Chen</t>
  </si>
  <si>
    <t>Data required for new planning cycle:</t>
  </si>
  <si>
    <t>LOH rates</t>
  </si>
  <si>
    <t>Jeanie Scott</t>
  </si>
  <si>
    <t>G&amp;A</t>
  </si>
  <si>
    <t>Bill Mixon</t>
  </si>
  <si>
    <t>Calc on Signature Page, Input into Approved EBIT target file</t>
  </si>
  <si>
    <t>V167 Labor and Overhead</t>
  </si>
  <si>
    <t>C167 Labor and Overhead</t>
  </si>
  <si>
    <t>X167 Labor and Overhead</t>
  </si>
  <si>
    <t>Total Labor and Overhead</t>
  </si>
  <si>
    <t>V167 Material Costs</t>
  </si>
  <si>
    <t>C167 Material Costs</t>
  </si>
  <si>
    <t>X167 Material Costs</t>
  </si>
  <si>
    <t>X167 Volume</t>
  </si>
  <si>
    <t>C167 Volume</t>
  </si>
  <si>
    <t>V167 Volume</t>
  </si>
  <si>
    <t>Total Mat Cost</t>
  </si>
  <si>
    <t>Total LOH</t>
  </si>
  <si>
    <t>Finished Vehicle Transfer Pricing EA1 2021</t>
  </si>
  <si>
    <t>Assumptions:</t>
  </si>
  <si>
    <t>Material Cost</t>
  </si>
  <si>
    <t>per Josh Culvert, 4/7/21</t>
  </si>
  <si>
    <t>EWPP 03 w/Jan-Mar actuals</t>
  </si>
  <si>
    <t>Production vol</t>
  </si>
  <si>
    <t>MOAB0421A</t>
  </si>
  <si>
    <t>MOAB 0421A</t>
  </si>
  <si>
    <t>LOH</t>
  </si>
  <si>
    <t>Based on OPEX from Controlling 4/14/21</t>
  </si>
  <si>
    <t>Full Year</t>
  </si>
  <si>
    <t>YTD Mar</t>
  </si>
  <si>
    <t>Remaining 2021</t>
  </si>
  <si>
    <t>Full Year 2021</t>
  </si>
  <si>
    <t>Ying Chen 4/15/21</t>
  </si>
  <si>
    <t>Transfer Price May 1 - December 2021</t>
  </si>
  <si>
    <t>Transfer Price OP values</t>
  </si>
  <si>
    <t>$ Chg</t>
  </si>
  <si>
    <t>% Chg</t>
  </si>
  <si>
    <t>Avg. TP Markup Rate</t>
  </si>
  <si>
    <t>avg, not being used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</si>
</sst>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6" formatCode="&quot;$&quot;#,##0_);[Red]\(&quot;$&quot;#,##0\)"/>
    <numFmt numFmtId="44" formatCode="_(&quot;$&quot;* #,##0.00_);_(&quot;$&quot;* \(#,##0.00\);_(&quot;$&quot;* &quot;-&quot;??_);_(@_)"/>
    <numFmt numFmtId="43" formatCode="_(* #,##0.00_);_(* \(#,##0.00\);_(* &quot;-&quot;??_);_(@_)"/>
    <numFmt numFmtId="164" formatCode="_ * #,##0.00_ ;_ * \-#,##0.00_ ;_ * &quot;-&quot;??_ ;_ @_ "/>
    <numFmt numFmtId="165" formatCode="_ * #,##0_ ;_ * \-#,##0_ ;_ * &quot;-&quot;??_ ;_ @_ "/>
    <numFmt numFmtId="166" formatCode="_(* #,##0_);_(* \(#,##0\);_(* &quot;-&quot;??_);_(@_)"/>
    <numFmt numFmtId="167" formatCode="0.0%"/>
    <numFmt numFmtId="168" formatCode="_(&quot;$&quot;* #,##0_);_(&quot;$&quot;* \(#,##0\);_(&quot;$&quot;* &quot;-&quot;??_);_(@_)"/>
    <numFmt numFmtId="169" formatCode="0.000%"/>
  </numFmts>
  <fonts count="3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sz val="10"/>
      <color theme="0"/>
      <name val="Calibri"/>
      <family val="2"/>
      <scheme val="minor"/>
    </font>
    <font>
      <sz val="10"/>
      <color theme="1"/>
      <name val="Calibri"/>
      <family val="2"/>
      <scheme val="minor"/>
    </font>
    <font>
      <b/>
      <sz val="10"/>
      <color theme="1"/>
      <name val="Calibri"/>
      <family val="2"/>
      <scheme val="minor"/>
    </font>
    <font>
      <sz val="10"/>
      <color theme="0"/>
      <name val="Calibri"/>
      <family val="2"/>
      <scheme val="minor"/>
    </font>
    <font>
      <sz val="11"/>
      <color theme="3" tint="0.39997558519241921"/>
      <name val="Calibri"/>
      <family val="2"/>
      <scheme val="minor"/>
    </font>
    <font>
      <b/>
      <sz val="9"/>
      <color indexed="81"/>
      <name val="Tahoma"/>
      <family val="2"/>
    </font>
    <font>
      <sz val="9"/>
      <color indexed="81"/>
      <name val="Tahoma"/>
      <family val="2"/>
    </font>
    <font>
      <sz val="10"/>
      <name val="Arial"/>
      <family val="2"/>
    </font>
    <font>
      <sz val="72"/>
      <color theme="1"/>
      <name val="Calibri"/>
      <family val="2"/>
      <scheme val="minor"/>
    </font>
    <font>
      <b/>
      <sz val="12"/>
      <color theme="0"/>
      <name val="Calibri"/>
      <family val="2"/>
      <scheme val="minor"/>
    </font>
    <font>
      <b/>
      <sz val="24"/>
      <color theme="1"/>
      <name val="Calibri"/>
      <family val="2"/>
      <scheme val="minor"/>
    </font>
    <font>
      <b/>
      <sz val="12"/>
      <color theme="1"/>
      <name val="Calibri"/>
      <family val="2"/>
      <scheme val="minor"/>
    </font>
    <font>
      <b/>
      <sz val="14"/>
      <color theme="1"/>
      <name val="Calibri"/>
      <family val="2"/>
      <scheme val="minor"/>
    </font>
    <font>
      <sz val="10"/>
      <color theme="1"/>
      <name val="Arial"/>
      <family val="2"/>
    </font>
    <font>
      <sz val="12"/>
      <name val="CorpoS"/>
    </font>
    <font>
      <sz val="48"/>
      <color theme="1"/>
      <name val="Calibri"/>
      <family val="2"/>
      <scheme val="minor"/>
    </font>
    <font>
      <sz val="10"/>
      <name val="Calibri"/>
      <family val="2"/>
      <scheme val="minor"/>
    </font>
    <font>
      <sz val="26"/>
      <name val="Calibri"/>
      <family val="2"/>
      <scheme val="minor"/>
    </font>
    <font>
      <sz val="8"/>
      <name val="Calibri"/>
      <family val="2"/>
      <scheme val="minor"/>
    </font>
    <font>
      <sz val="9"/>
      <color rgb="FF0070C0"/>
      <name val="Calibri"/>
      <family val="2"/>
      <scheme val="minor"/>
    </font>
    <font>
      <sz val="9"/>
      <color theme="9" tint="-0.249977111117893"/>
      <name val="Calibri"/>
      <family val="2"/>
      <scheme val="minor"/>
    </font>
    <font>
      <sz val="18"/>
      <color theme="1"/>
      <name val="Arial"/>
      <family val="2"/>
    </font>
    <font>
      <sz val="14"/>
      <color theme="1"/>
      <name val="Calibri"/>
      <family val="2"/>
      <scheme val="minor"/>
    </font>
    <font>
      <sz val="16"/>
      <color theme="1"/>
      <name val="Calibri"/>
      <family val="2"/>
      <scheme val="minor"/>
    </font>
    <font>
      <sz val="22"/>
      <color theme="0"/>
      <name val="Calibri"/>
      <family val="2"/>
      <scheme val="minor"/>
    </font>
    <font>
      <sz val="8"/>
      <color rgb="FF000000"/>
      <name val="Segoe UI"/>
      <family val="2"/>
    </font>
    <font>
      <b/>
      <sz val="10"/>
      <color theme="1"/>
      <name val="Arial"/>
      <family val="2"/>
    </font>
    <font>
      <b/>
      <sz val="11"/>
      <name val="Calibri"/>
      <family val="2"/>
      <scheme val="minor"/>
    </font>
    <font>
      <b/>
      <u/>
      <sz val="11"/>
      <color theme="0"/>
      <name val="Calibri"/>
      <family val="2"/>
      <scheme val="minor"/>
    </font>
    <font>
      <u/>
      <sz val="11"/>
      <color theme="1"/>
      <name val="Calibri"/>
      <family val="2"/>
      <scheme val="minor"/>
    </font>
    <font>
      <b/>
      <sz val="20"/>
      <color theme="1"/>
      <name val="Calibri"/>
      <family val="2"/>
      <scheme val="minor"/>
    </font>
    <font>
      <sz val="11"/>
      <name val="Calibri"/>
      <family val="2"/>
      <scheme val="minor"/>
    </font>
    <font>
      <sz val="9"/>
      <name val="Calibri"/>
      <family val="2"/>
      <scheme val="minor"/>
    </font>
  </fonts>
  <fills count="30">
    <fill>
      <patternFill patternType="none"/>
    </fill>
    <fill>
      <patternFill patternType="gray125"/>
    </fill>
    <fill>
      <patternFill patternType="solid">
        <fgColor theme="8" tint="0.39997558519241921"/>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499984740745262"/>
        <bgColor indexed="64"/>
      </patternFill>
    </fill>
    <fill>
      <patternFill patternType="solid">
        <fgColor rgb="FF92D050"/>
        <bgColor indexed="64"/>
      </patternFill>
    </fill>
    <fill>
      <patternFill patternType="solid">
        <fgColor theme="3"/>
        <bgColor indexed="64"/>
      </patternFill>
    </fill>
    <fill>
      <patternFill patternType="solid">
        <fgColor theme="0"/>
        <bgColor indexed="64"/>
      </patternFill>
    </fill>
    <fill>
      <patternFill patternType="solid">
        <fgColor theme="8" tint="0.79998168889431442"/>
        <bgColor indexed="64"/>
      </patternFill>
    </fill>
    <fill>
      <patternFill patternType="solid">
        <fgColor rgb="FF00B050"/>
        <bgColor indexed="64"/>
      </patternFill>
    </fill>
    <fill>
      <patternFill patternType="solid">
        <fgColor rgb="FF00B0F0"/>
        <bgColor indexed="64"/>
      </patternFill>
    </fill>
    <fill>
      <patternFill patternType="solid">
        <fgColor theme="7"/>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theme="4"/>
        <bgColor indexed="64"/>
      </patternFill>
    </fill>
    <fill>
      <patternFill patternType="solid">
        <fgColor theme="5"/>
        <bgColor indexed="64"/>
      </patternFill>
    </fill>
    <fill>
      <patternFill patternType="solid">
        <fgColor theme="5" tint="0.59999389629810485"/>
        <bgColor indexed="64"/>
      </patternFill>
    </fill>
    <fill>
      <patternFill patternType="solid">
        <fgColor theme="3" tint="0.59999389629810485"/>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1"/>
        <bgColor indexed="64"/>
      </patternFill>
    </fill>
    <fill>
      <patternFill patternType="solid">
        <fgColor theme="2" tint="-0.89999084444715716"/>
        <bgColor indexed="64"/>
      </patternFill>
    </fill>
    <fill>
      <patternFill patternType="solid">
        <fgColor rgb="FF002060"/>
        <bgColor indexed="64"/>
      </patternFill>
    </fill>
  </fills>
  <borders count="40">
    <border>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auto="1"/>
      </left>
      <right/>
      <top/>
      <bottom/>
      <diagonal/>
    </border>
    <border>
      <left style="medium">
        <color indexed="64"/>
      </left>
      <right style="medium">
        <color indexed="64"/>
      </right>
      <top/>
      <bottom/>
      <diagonal/>
    </border>
    <border>
      <left style="medium">
        <color auto="1"/>
      </left>
      <right/>
      <top style="medium">
        <color auto="1"/>
      </top>
      <bottom/>
      <diagonal/>
    </border>
    <border>
      <left/>
      <right/>
      <top style="medium">
        <color indexed="64"/>
      </top>
      <bottom/>
      <diagonal/>
    </border>
    <border>
      <left/>
      <right style="medium">
        <color auto="1"/>
      </right>
      <top style="medium">
        <color auto="1"/>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auto="1"/>
      </left>
      <right style="medium">
        <color indexed="64"/>
      </right>
      <top/>
      <bottom style="double">
        <color indexed="64"/>
      </bottom>
      <diagonal/>
    </border>
    <border>
      <left style="medium">
        <color auto="1"/>
      </left>
      <right/>
      <top/>
      <bottom style="double">
        <color indexed="64"/>
      </bottom>
      <diagonal/>
    </border>
    <border>
      <left/>
      <right style="medium">
        <color indexed="64"/>
      </right>
      <top/>
      <bottom style="double">
        <color indexed="64"/>
      </bottom>
      <diagonal/>
    </border>
    <border>
      <left style="medium">
        <color auto="1"/>
      </left>
      <right style="medium">
        <color indexed="64"/>
      </right>
      <top/>
      <bottom style="thin">
        <color indexed="64"/>
      </bottom>
      <diagonal/>
    </border>
    <border>
      <left style="medium">
        <color auto="1"/>
      </left>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s>
  <cellStyleXfs count="17">
    <xf numFmtId="0" fontId="0" fillId="0" borderId="0"/>
    <xf numFmtId="164"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2" fillId="0" borderId="0"/>
    <xf numFmtId="0" fontId="12" fillId="0" borderId="0"/>
    <xf numFmtId="0" fontId="12" fillId="0" borderId="0"/>
    <xf numFmtId="0" fontId="12" fillId="0" borderId="0"/>
    <xf numFmtId="0" fontId="18" fillId="0" borderId="0"/>
    <xf numFmtId="43" fontId="18" fillId="0" borderId="0" applyFont="0" applyFill="0" applyBorder="0" applyAlignment="0" applyProtection="0"/>
    <xf numFmtId="0" fontId="1" fillId="0" borderId="0"/>
    <xf numFmtId="43" fontId="1"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9" fontId="18" fillId="0" borderId="0" applyFont="0" applyFill="0" applyBorder="0" applyAlignment="0" applyProtection="0"/>
    <xf numFmtId="43" fontId="1" fillId="0" borderId="0" applyFont="0" applyFill="0" applyBorder="0" applyAlignment="0" applyProtection="0"/>
    <xf numFmtId="0" fontId="19" fillId="0" borderId="0"/>
  </cellStyleXfs>
  <cellXfs count="375">
    <xf numFmtId="0" fontId="0" fillId="0" borderId="0" xfId="0"/>
    <xf numFmtId="165" fontId="0" fillId="0" borderId="0" xfId="0" applyNumberFormat="1"/>
    <xf numFmtId="0" fontId="6" fillId="0" borderId="0" xfId="0" applyFont="1"/>
    <xf numFmtId="165" fontId="7" fillId="0" borderId="0" xfId="1" applyNumberFormat="1" applyFont="1"/>
    <xf numFmtId="0" fontId="8" fillId="4" borderId="0" xfId="0" applyFont="1" applyFill="1" applyBorder="1"/>
    <xf numFmtId="0" fontId="0" fillId="10" borderId="0" xfId="0" applyFill="1"/>
    <xf numFmtId="165" fontId="0" fillId="11" borderId="4" xfId="0" applyNumberFormat="1" applyFill="1" applyBorder="1"/>
    <xf numFmtId="165" fontId="0" fillId="11" borderId="9" xfId="0" applyNumberFormat="1" applyFill="1" applyBorder="1"/>
    <xf numFmtId="0" fontId="0" fillId="0" borderId="11" xfId="0" applyBorder="1"/>
    <xf numFmtId="0" fontId="2" fillId="9" borderId="1" xfId="0" applyFont="1" applyFill="1" applyBorder="1" applyAlignment="1">
      <alignment horizontal="center" vertical="center"/>
    </xf>
    <xf numFmtId="0" fontId="0" fillId="9" borderId="5" xfId="0" applyFill="1" applyBorder="1"/>
    <xf numFmtId="165" fontId="0" fillId="3" borderId="0" xfId="0" applyNumberFormat="1" applyFill="1" applyBorder="1"/>
    <xf numFmtId="165" fontId="0" fillId="2" borderId="0" xfId="0" applyNumberFormat="1" applyFill="1" applyBorder="1"/>
    <xf numFmtId="165" fontId="0" fillId="2" borderId="11" xfId="0" applyNumberFormat="1" applyFill="1" applyBorder="1"/>
    <xf numFmtId="0" fontId="3" fillId="0" borderId="6" xfId="0" applyFont="1" applyBorder="1"/>
    <xf numFmtId="0" fontId="0" fillId="0" borderId="11" xfId="0" applyFill="1" applyBorder="1"/>
    <xf numFmtId="165" fontId="6" fillId="0" borderId="11" xfId="1" applyNumberFormat="1" applyFont="1" applyBorder="1"/>
    <xf numFmtId="0" fontId="2" fillId="0" borderId="0" xfId="0" applyFont="1" applyFill="1" applyBorder="1" applyAlignment="1">
      <alignment horizontal="centerContinuous"/>
    </xf>
    <xf numFmtId="0" fontId="0" fillId="0" borderId="0" xfId="0" applyBorder="1"/>
    <xf numFmtId="43" fontId="0" fillId="0" borderId="0" xfId="0" applyNumberFormat="1"/>
    <xf numFmtId="0" fontId="0" fillId="0" borderId="0" xfId="0" applyFill="1"/>
    <xf numFmtId="0" fontId="0" fillId="0" borderId="0" xfId="0" applyFill="1" applyBorder="1"/>
    <xf numFmtId="166" fontId="0" fillId="0" borderId="0" xfId="0" applyNumberFormat="1"/>
    <xf numFmtId="0" fontId="4" fillId="4" borderId="0" xfId="0" applyFont="1" applyFill="1" applyBorder="1" applyAlignment="1">
      <alignment horizontal="center"/>
    </xf>
    <xf numFmtId="0" fontId="6" fillId="2" borderId="6" xfId="0" applyFont="1" applyFill="1" applyBorder="1"/>
    <xf numFmtId="165" fontId="0" fillId="2" borderId="12" xfId="0" applyNumberFormat="1" applyFill="1" applyBorder="1"/>
    <xf numFmtId="165" fontId="0" fillId="2" borderId="19" xfId="0" applyNumberFormat="1" applyFill="1" applyBorder="1"/>
    <xf numFmtId="165" fontId="0" fillId="11" borderId="3" xfId="1" applyNumberFormat="1" applyFont="1" applyFill="1" applyBorder="1"/>
    <xf numFmtId="165" fontId="0" fillId="11" borderId="0" xfId="1" applyNumberFormat="1" applyFont="1" applyFill="1" applyBorder="1"/>
    <xf numFmtId="165" fontId="0" fillId="3" borderId="9" xfId="0" applyNumberFormat="1" applyFill="1" applyBorder="1"/>
    <xf numFmtId="165" fontId="0" fillId="2" borderId="9" xfId="0" applyNumberFormat="1" applyFill="1" applyBorder="1"/>
    <xf numFmtId="165" fontId="0" fillId="2" borderId="18" xfId="0" applyNumberFormat="1" applyFill="1" applyBorder="1"/>
    <xf numFmtId="165" fontId="0" fillId="12" borderId="2" xfId="0" applyNumberFormat="1" applyFill="1" applyBorder="1"/>
    <xf numFmtId="165" fontId="0" fillId="13" borderId="3" xfId="0" applyNumberFormat="1" applyFill="1" applyBorder="1"/>
    <xf numFmtId="166" fontId="0" fillId="13" borderId="0" xfId="0" applyNumberFormat="1" applyFill="1" applyBorder="1"/>
    <xf numFmtId="165" fontId="0" fillId="13" borderId="0" xfId="0" applyNumberFormat="1" applyFill="1" applyBorder="1"/>
    <xf numFmtId="165" fontId="0" fillId="13" borderId="11" xfId="0" applyNumberFormat="1" applyFill="1" applyBorder="1"/>
    <xf numFmtId="165" fontId="0" fillId="14" borderId="0" xfId="0" applyNumberFormat="1" applyFill="1" applyBorder="1"/>
    <xf numFmtId="165" fontId="0" fillId="14" borderId="3" xfId="0" applyNumberFormat="1" applyFill="1" applyBorder="1"/>
    <xf numFmtId="165" fontId="0" fillId="3" borderId="0" xfId="1" applyNumberFormat="1" applyFont="1" applyFill="1" applyBorder="1"/>
    <xf numFmtId="165" fontId="0" fillId="8" borderId="3" xfId="1" quotePrefix="1" applyNumberFormat="1" applyFont="1" applyFill="1" applyBorder="1"/>
    <xf numFmtId="165" fontId="0" fillId="8" borderId="0" xfId="1" quotePrefix="1" applyNumberFormat="1" applyFont="1" applyFill="1" applyBorder="1"/>
    <xf numFmtId="165" fontId="6" fillId="0" borderId="0" xfId="1" applyNumberFormat="1" applyFont="1" applyFill="1" applyBorder="1"/>
    <xf numFmtId="165" fontId="0" fillId="0" borderId="0" xfId="0" applyNumberFormat="1" applyFill="1" applyBorder="1"/>
    <xf numFmtId="0" fontId="5" fillId="0" borderId="0" xfId="0" applyFont="1" applyFill="1" applyBorder="1" applyAlignment="1">
      <alignment horizontal="center" vertical="center"/>
    </xf>
    <xf numFmtId="0" fontId="5" fillId="0" borderId="0" xfId="0" applyFont="1" applyFill="1" applyBorder="1" applyAlignment="1">
      <alignment horizontal="center" vertical="center" wrapText="1"/>
    </xf>
    <xf numFmtId="0" fontId="3" fillId="0" borderId="0" xfId="0" applyFont="1" applyFill="1" applyBorder="1" applyAlignment="1">
      <alignment wrapText="1"/>
    </xf>
    <xf numFmtId="0" fontId="2" fillId="0" borderId="0" xfId="0" applyFont="1" applyFill="1" applyBorder="1"/>
    <xf numFmtId="0" fontId="8" fillId="0" borderId="0" xfId="0" applyFont="1" applyFill="1" applyBorder="1"/>
    <xf numFmtId="165" fontId="3" fillId="0" borderId="0" xfId="1" applyNumberFormat="1" applyFont="1" applyFill="1" applyBorder="1"/>
    <xf numFmtId="164" fontId="0" fillId="0" borderId="0" xfId="1" applyFont="1" applyFill="1" applyBorder="1"/>
    <xf numFmtId="0" fontId="2" fillId="0" borderId="0" xfId="0" applyFont="1" applyFill="1" applyBorder="1" applyAlignment="1">
      <alignment horizontal="center" vertical="center" wrapText="1"/>
    </xf>
    <xf numFmtId="165" fontId="3" fillId="0" borderId="0" xfId="0" applyNumberFormat="1" applyFont="1" applyFill="1" applyBorder="1"/>
    <xf numFmtId="9" fontId="0" fillId="0" borderId="0" xfId="3" applyFont="1" applyFill="1" applyBorder="1"/>
    <xf numFmtId="0" fontId="2" fillId="0" borderId="0" xfId="0" applyFont="1" applyFill="1" applyBorder="1" applyAlignment="1">
      <alignment horizontal="center" vertical="center"/>
    </xf>
    <xf numFmtId="0" fontId="6" fillId="0" borderId="0" xfId="0" applyFont="1" applyFill="1" applyBorder="1"/>
    <xf numFmtId="0" fontId="2" fillId="4" borderId="3" xfId="0" applyFont="1" applyFill="1" applyBorder="1"/>
    <xf numFmtId="0" fontId="2" fillId="4" borderId="4" xfId="0" applyFont="1" applyFill="1" applyBorder="1"/>
    <xf numFmtId="0" fontId="8" fillId="4" borderId="9" xfId="0" applyFont="1" applyFill="1" applyBorder="1"/>
    <xf numFmtId="0" fontId="8" fillId="4" borderId="11" xfId="0" applyFont="1" applyFill="1" applyBorder="1"/>
    <xf numFmtId="0" fontId="8" fillId="4" borderId="18" xfId="0" applyFont="1" applyFill="1" applyBorder="1"/>
    <xf numFmtId="0" fontId="9" fillId="4" borderId="2" xfId="0" applyFont="1" applyFill="1" applyBorder="1" applyAlignment="1">
      <alignment horizontal="center"/>
    </xf>
    <xf numFmtId="0" fontId="9" fillId="4" borderId="3" xfId="0" applyFont="1" applyFill="1" applyBorder="1" applyAlignment="1">
      <alignment horizontal="center"/>
    </xf>
    <xf numFmtId="0" fontId="4" fillId="4" borderId="8" xfId="0" applyFont="1" applyFill="1" applyBorder="1" applyAlignment="1">
      <alignment horizontal="center"/>
    </xf>
    <xf numFmtId="0" fontId="9" fillId="4" borderId="10" xfId="0" applyFont="1" applyFill="1" applyBorder="1" applyAlignment="1">
      <alignment horizontal="center"/>
    </xf>
    <xf numFmtId="0" fontId="9" fillId="4" borderId="11" xfId="0" applyFont="1" applyFill="1" applyBorder="1" applyAlignment="1">
      <alignment horizontal="center"/>
    </xf>
    <xf numFmtId="0" fontId="0" fillId="8" borderId="15" xfId="0" applyFill="1" applyBorder="1"/>
    <xf numFmtId="0" fontId="3" fillId="0" borderId="0" xfId="0" applyFont="1" applyFill="1" applyBorder="1" applyAlignment="1"/>
    <xf numFmtId="165" fontId="0" fillId="14" borderId="11" xfId="0" applyNumberFormat="1" applyFill="1" applyBorder="1"/>
    <xf numFmtId="166" fontId="0" fillId="14" borderId="0" xfId="0" applyNumberFormat="1" applyFill="1" applyBorder="1"/>
    <xf numFmtId="166" fontId="2" fillId="4" borderId="3" xfId="1" applyNumberFormat="1" applyFont="1" applyFill="1" applyBorder="1" applyAlignment="1">
      <alignment horizontal="center"/>
    </xf>
    <xf numFmtId="166" fontId="2" fillId="4" borderId="4" xfId="1" applyNumberFormat="1" applyFont="1" applyFill="1" applyBorder="1" applyAlignment="1">
      <alignment horizontal="center"/>
    </xf>
    <xf numFmtId="166" fontId="8" fillId="4" borderId="11" xfId="0" applyNumberFormat="1" applyFont="1" applyFill="1" applyBorder="1" applyAlignment="1">
      <alignment horizontal="center"/>
    </xf>
    <xf numFmtId="166" fontId="8" fillId="4" borderId="18" xfId="0" applyNumberFormat="1" applyFont="1" applyFill="1" applyBorder="1" applyAlignment="1">
      <alignment horizontal="center"/>
    </xf>
    <xf numFmtId="0" fontId="3" fillId="8" borderId="15" xfId="0" applyFont="1" applyFill="1" applyBorder="1" applyAlignment="1">
      <alignment horizontal="center"/>
    </xf>
    <xf numFmtId="9" fontId="3" fillId="8" borderId="16" xfId="3" applyFont="1" applyFill="1" applyBorder="1" applyAlignment="1">
      <alignment horizontal="right"/>
    </xf>
    <xf numFmtId="165" fontId="3" fillId="8" borderId="15" xfId="1" applyNumberFormat="1" applyFont="1" applyFill="1" applyBorder="1" applyAlignment="1">
      <alignment horizontal="center"/>
    </xf>
    <xf numFmtId="165" fontId="3" fillId="8" borderId="16" xfId="1" applyNumberFormat="1" applyFont="1" applyFill="1" applyBorder="1" applyAlignment="1">
      <alignment horizontal="center"/>
    </xf>
    <xf numFmtId="0" fontId="13" fillId="10" borderId="0" xfId="0" applyFont="1" applyFill="1" applyAlignment="1">
      <alignment horizontal="center"/>
    </xf>
    <xf numFmtId="0" fontId="2" fillId="0" borderId="0" xfId="0" applyFont="1" applyFill="1" applyBorder="1" applyAlignment="1">
      <alignment horizontal="center"/>
    </xf>
    <xf numFmtId="0" fontId="14" fillId="9" borderId="6" xfId="0" applyFont="1" applyFill="1" applyBorder="1" applyAlignment="1">
      <alignment horizontal="center" vertical="center" wrapText="1"/>
    </xf>
    <xf numFmtId="0" fontId="14" fillId="9" borderId="6" xfId="0" applyNumberFormat="1" applyFont="1" applyFill="1" applyBorder="1" applyAlignment="1">
      <alignment horizontal="center" vertical="center" wrapText="1"/>
    </xf>
    <xf numFmtId="0" fontId="8" fillId="0" borderId="0" xfId="0" applyFont="1" applyFill="1" applyBorder="1" applyAlignment="1">
      <alignment horizontal="center"/>
    </xf>
    <xf numFmtId="0" fontId="2" fillId="4" borderId="1" xfId="0" applyFont="1" applyFill="1" applyBorder="1" applyAlignment="1">
      <alignment horizontal="center"/>
    </xf>
    <xf numFmtId="0" fontId="8" fillId="4" borderId="5" xfId="0" applyFont="1" applyFill="1" applyBorder="1" applyAlignment="1">
      <alignment horizontal="center"/>
    </xf>
    <xf numFmtId="168" fontId="3" fillId="0" borderId="0" xfId="2" applyNumberFormat="1" applyFont="1" applyFill="1" applyBorder="1" applyAlignment="1"/>
    <xf numFmtId="0" fontId="3" fillId="0" borderId="0" xfId="0" applyFont="1" applyFill="1" applyBorder="1" applyAlignment="1">
      <alignment horizontal="left"/>
    </xf>
    <xf numFmtId="166" fontId="0" fillId="6" borderId="8" xfId="0" applyNumberFormat="1" applyFill="1" applyBorder="1"/>
    <xf numFmtId="165" fontId="0" fillId="16" borderId="8" xfId="0" applyNumberFormat="1" applyFont="1" applyFill="1" applyBorder="1"/>
    <xf numFmtId="165" fontId="0" fillId="5" borderId="8" xfId="0" applyNumberFormat="1" applyFill="1" applyBorder="1"/>
    <xf numFmtId="165" fontId="0" fillId="17" borderId="8" xfId="0" applyNumberFormat="1" applyFill="1" applyBorder="1"/>
    <xf numFmtId="165" fontId="0" fillId="18" borderId="8" xfId="0" applyNumberFormat="1" applyFill="1" applyBorder="1"/>
    <xf numFmtId="165" fontId="0" fillId="19" borderId="8" xfId="0" applyNumberFormat="1" applyFill="1" applyBorder="1"/>
    <xf numFmtId="165" fontId="0" fillId="20" borderId="8" xfId="0" applyNumberFormat="1" applyFill="1" applyBorder="1"/>
    <xf numFmtId="165" fontId="0" fillId="21" borderId="8" xfId="0" applyNumberFormat="1" applyFill="1" applyBorder="1"/>
    <xf numFmtId="165" fontId="0" fillId="15" borderId="8" xfId="0" applyNumberFormat="1" applyFill="1" applyBorder="1"/>
    <xf numFmtId="165" fontId="0" fillId="22" borderId="8" xfId="0" applyNumberFormat="1" applyFill="1" applyBorder="1"/>
    <xf numFmtId="165" fontId="0" fillId="23" borderId="10" xfId="0" applyNumberFormat="1" applyFill="1" applyBorder="1"/>
    <xf numFmtId="166" fontId="3" fillId="24" borderId="6" xfId="1" applyNumberFormat="1" applyFont="1" applyFill="1" applyBorder="1" applyAlignment="1">
      <alignment horizontal="center" vertical="center"/>
    </xf>
    <xf numFmtId="166" fontId="1" fillId="0" borderId="6" xfId="1" applyNumberFormat="1" applyFont="1" applyFill="1" applyBorder="1" applyAlignment="1">
      <alignment horizontal="center" vertical="center"/>
    </xf>
    <xf numFmtId="166" fontId="0" fillId="0" borderId="0" xfId="1" applyNumberFormat="1" applyFont="1"/>
    <xf numFmtId="166" fontId="0" fillId="0" borderId="11" xfId="1" applyNumberFormat="1" applyFont="1" applyBorder="1"/>
    <xf numFmtId="0" fontId="3" fillId="0" borderId="3" xfId="0" applyFont="1" applyBorder="1"/>
    <xf numFmtId="166" fontId="3" fillId="0" borderId="3" xfId="1" applyNumberFormat="1" applyFont="1" applyBorder="1"/>
    <xf numFmtId="166" fontId="3" fillId="0" borderId="3" xfId="1" applyNumberFormat="1" applyFont="1" applyBorder="1" applyAlignment="1">
      <alignment horizontal="center"/>
    </xf>
    <xf numFmtId="166" fontId="0" fillId="0" borderId="0" xfId="1" applyNumberFormat="1" applyFont="1" applyBorder="1"/>
    <xf numFmtId="0" fontId="3" fillId="0" borderId="0" xfId="0" applyFont="1" applyBorder="1"/>
    <xf numFmtId="0" fontId="3" fillId="0" borderId="0" xfId="1" applyNumberFormat="1" applyFont="1" applyBorder="1" applyAlignment="1">
      <alignment vertical="top" wrapText="1"/>
    </xf>
    <xf numFmtId="0" fontId="3" fillId="0" borderId="3" xfId="0" applyFont="1" applyBorder="1" applyAlignment="1">
      <alignment horizontal="center"/>
    </xf>
    <xf numFmtId="2" fontId="8" fillId="4" borderId="7" xfId="1" applyNumberFormat="1" applyFont="1" applyFill="1" applyBorder="1" applyAlignment="1">
      <alignment horizontal="left"/>
    </xf>
    <xf numFmtId="0" fontId="17" fillId="0" borderId="0" xfId="0" applyFont="1" applyAlignment="1">
      <alignment vertical="top" wrapText="1"/>
    </xf>
    <xf numFmtId="0" fontId="16" fillId="0" borderId="0" xfId="0" applyFont="1" applyAlignment="1">
      <alignment horizontal="center" vertical="top" wrapText="1"/>
    </xf>
    <xf numFmtId="166" fontId="3" fillId="24" borderId="6" xfId="1" applyNumberFormat="1" applyFont="1" applyFill="1" applyBorder="1" applyAlignment="1">
      <alignment horizontal="center" vertical="center" wrapText="1"/>
    </xf>
    <xf numFmtId="0" fontId="13" fillId="10" borderId="0" xfId="0" applyFont="1" applyFill="1" applyAlignment="1"/>
    <xf numFmtId="166" fontId="3" fillId="0" borderId="6" xfId="1" applyNumberFormat="1" applyFont="1" applyFill="1" applyBorder="1" applyAlignment="1">
      <alignment horizontal="center" vertical="center" wrapText="1"/>
    </xf>
    <xf numFmtId="166" fontId="3" fillId="0" borderId="0" xfId="1" applyNumberFormat="1" applyFont="1" applyFill="1" applyBorder="1" applyAlignment="1">
      <alignment horizontal="center" vertical="center" wrapText="1"/>
    </xf>
    <xf numFmtId="166" fontId="3" fillId="25" borderId="6" xfId="1" applyNumberFormat="1" applyFont="1" applyFill="1" applyBorder="1" applyAlignment="1">
      <alignment horizontal="center" vertical="center" wrapText="1"/>
    </xf>
    <xf numFmtId="166" fontId="3" fillId="25" borderId="6" xfId="0" applyNumberFormat="1" applyFont="1" applyFill="1" applyBorder="1"/>
    <xf numFmtId="0" fontId="3" fillId="25" borderId="6" xfId="0" applyFont="1" applyFill="1" applyBorder="1"/>
    <xf numFmtId="43" fontId="16" fillId="0" borderId="0" xfId="0" applyNumberFormat="1" applyFont="1" applyAlignment="1">
      <alignment horizontal="center" vertical="top" wrapText="1"/>
    </xf>
    <xf numFmtId="165" fontId="1" fillId="0" borderId="6" xfId="1" applyNumberFormat="1" applyFont="1" applyFill="1" applyBorder="1" applyAlignment="1">
      <alignment horizontal="center" vertical="center" wrapText="1"/>
    </xf>
    <xf numFmtId="166" fontId="15" fillId="0" borderId="0" xfId="1" applyNumberFormat="1" applyFont="1" applyFill="1" applyBorder="1" applyAlignment="1"/>
    <xf numFmtId="166" fontId="3" fillId="24" borderId="18" xfId="1" applyNumberFormat="1" applyFont="1" applyFill="1" applyBorder="1" applyAlignment="1">
      <alignment horizontal="center" vertical="center" wrapText="1"/>
    </xf>
    <xf numFmtId="166" fontId="3" fillId="24" borderId="5" xfId="1" applyNumberFormat="1" applyFont="1" applyFill="1" applyBorder="1" applyAlignment="1">
      <alignment horizontal="center" vertical="center" wrapText="1"/>
    </xf>
    <xf numFmtId="0" fontId="0" fillId="10" borderId="2" xfId="0" applyFill="1" applyBorder="1"/>
    <xf numFmtId="0" fontId="0" fillId="10" borderId="3" xfId="0" applyFill="1" applyBorder="1"/>
    <xf numFmtId="0" fontId="0" fillId="10" borderId="4" xfId="0" applyFill="1" applyBorder="1"/>
    <xf numFmtId="0" fontId="0" fillId="10" borderId="8" xfId="0" applyFill="1" applyBorder="1"/>
    <xf numFmtId="0" fontId="0" fillId="10" borderId="0" xfId="0" applyFill="1" applyBorder="1"/>
    <xf numFmtId="0" fontId="0" fillId="10" borderId="9" xfId="0" applyFill="1" applyBorder="1"/>
    <xf numFmtId="166" fontId="0" fillId="12" borderId="2" xfId="0" applyNumberFormat="1" applyFill="1" applyBorder="1"/>
    <xf numFmtId="169" fontId="1" fillId="0" borderId="6" xfId="3" applyNumberFormat="1" applyFont="1" applyFill="1" applyBorder="1" applyAlignment="1">
      <alignment horizontal="center" vertical="center" wrapText="1"/>
    </xf>
    <xf numFmtId="0" fontId="21" fillId="0" borderId="0" xfId="0" applyFont="1" applyFill="1" applyAlignment="1">
      <alignment horizontal="left"/>
    </xf>
    <xf numFmtId="1" fontId="0" fillId="0" borderId="0" xfId="0" applyNumberFormat="1"/>
    <xf numFmtId="0" fontId="13" fillId="0" borderId="0" xfId="0" applyFont="1" applyFill="1" applyAlignment="1">
      <alignment horizontal="center"/>
    </xf>
    <xf numFmtId="0" fontId="21" fillId="0" borderId="0" xfId="0" applyFont="1" applyFill="1" applyAlignment="1">
      <alignment horizontal="left" wrapText="1"/>
    </xf>
    <xf numFmtId="0" fontId="22" fillId="10" borderId="0" xfId="0" applyFont="1" applyFill="1" applyAlignment="1">
      <alignment horizontal="left"/>
    </xf>
    <xf numFmtId="0" fontId="23" fillId="10" borderId="0" xfId="0" applyFont="1" applyFill="1" applyAlignment="1">
      <alignment vertical="center" wrapText="1"/>
    </xf>
    <xf numFmtId="0" fontId="23" fillId="10" borderId="0" xfId="0" applyFont="1" applyFill="1" applyAlignment="1">
      <alignment vertical="center"/>
    </xf>
    <xf numFmtId="0" fontId="0" fillId="10" borderId="10" xfId="0" applyFill="1" applyBorder="1"/>
    <xf numFmtId="0" fontId="0" fillId="10" borderId="11" xfId="0" applyFill="1" applyBorder="1"/>
    <xf numFmtId="0" fontId="0" fillId="10" borderId="18" xfId="0" applyFill="1" applyBorder="1"/>
    <xf numFmtId="0" fontId="4" fillId="4" borderId="3" xfId="0" applyFont="1" applyFill="1" applyBorder="1" applyAlignment="1">
      <alignment horizontal="left"/>
    </xf>
    <xf numFmtId="0" fontId="3" fillId="8" borderId="14" xfId="0" applyFont="1" applyFill="1" applyBorder="1" applyAlignment="1">
      <alignment horizontal="left"/>
    </xf>
    <xf numFmtId="0" fontId="4" fillId="4" borderId="11" xfId="0" applyFont="1" applyFill="1" applyBorder="1" applyAlignment="1">
      <alignment horizontal="left"/>
    </xf>
    <xf numFmtId="0" fontId="3" fillId="10" borderId="14" xfId="0" applyFont="1" applyFill="1" applyBorder="1" applyAlignment="1">
      <alignment vertical="top"/>
    </xf>
    <xf numFmtId="43" fontId="3" fillId="10" borderId="20" xfId="11" applyFont="1" applyFill="1" applyBorder="1" applyAlignment="1">
      <alignment horizontal="right" vertical="top" wrapText="1"/>
    </xf>
    <xf numFmtId="166" fontId="3" fillId="10" borderId="20" xfId="11" applyNumberFormat="1" applyFont="1" applyFill="1" applyBorder="1" applyAlignment="1">
      <alignment horizontal="right" vertical="top" wrapText="1"/>
    </xf>
    <xf numFmtId="166" fontId="3" fillId="10" borderId="16" xfId="11" applyNumberFormat="1" applyFont="1" applyFill="1" applyBorder="1" applyAlignment="1">
      <alignment horizontal="right" vertical="top" wrapText="1"/>
    </xf>
    <xf numFmtId="43" fontId="18" fillId="10" borderId="0" xfId="11" applyFont="1" applyFill="1" applyBorder="1"/>
    <xf numFmtId="0" fontId="18" fillId="10" borderId="0" xfId="0" applyFont="1" applyFill="1" applyBorder="1"/>
    <xf numFmtId="0" fontId="18" fillId="10" borderId="0" xfId="0" applyFont="1" applyFill="1"/>
    <xf numFmtId="0" fontId="0" fillId="10" borderId="21" xfId="0" applyFill="1" applyBorder="1" applyAlignment="1">
      <alignment vertical="top"/>
    </xf>
    <xf numFmtId="166" fontId="0" fillId="10" borderId="22" xfId="11" applyNumberFormat="1" applyFont="1" applyFill="1" applyBorder="1" applyAlignment="1">
      <alignment horizontal="left" vertical="top"/>
    </xf>
    <xf numFmtId="166" fontId="0" fillId="10" borderId="22" xfId="11" applyNumberFormat="1" applyFont="1" applyFill="1" applyBorder="1" applyAlignment="1">
      <alignment vertical="top"/>
    </xf>
    <xf numFmtId="166" fontId="0" fillId="10" borderId="17" xfId="11" applyNumberFormat="1" applyFont="1" applyFill="1" applyBorder="1" applyAlignment="1">
      <alignment vertical="top"/>
    </xf>
    <xf numFmtId="0" fontId="18" fillId="18" borderId="23" xfId="0" applyFont="1" applyFill="1" applyBorder="1" applyAlignment="1">
      <alignment horizontal="right"/>
    </xf>
    <xf numFmtId="43" fontId="18" fillId="18" borderId="24" xfId="11" applyFont="1" applyFill="1" applyBorder="1" applyAlignment="1">
      <alignment horizontal="right"/>
    </xf>
    <xf numFmtId="43" fontId="18" fillId="18" borderId="25" xfId="11" applyFont="1" applyFill="1" applyBorder="1" applyAlignment="1">
      <alignment horizontal="right"/>
    </xf>
    <xf numFmtId="43" fontId="18" fillId="18" borderId="26" xfId="11" applyFont="1" applyFill="1" applyBorder="1" applyAlignment="1">
      <alignment horizontal="right"/>
    </xf>
    <xf numFmtId="43" fontId="12" fillId="18" borderId="27" xfId="11" applyFont="1" applyFill="1" applyBorder="1" applyAlignment="1">
      <alignment horizontal="right"/>
    </xf>
    <xf numFmtId="43" fontId="12" fillId="18" borderId="28" xfId="11" applyFont="1" applyFill="1" applyBorder="1" applyAlignment="1">
      <alignment horizontal="right"/>
    </xf>
    <xf numFmtId="0" fontId="3" fillId="10" borderId="21" xfId="0" applyFont="1" applyFill="1" applyBorder="1" applyAlignment="1">
      <alignment vertical="top"/>
    </xf>
    <xf numFmtId="166" fontId="3" fillId="10" borderId="22" xfId="11" applyNumberFormat="1" applyFont="1" applyFill="1" applyBorder="1" applyAlignment="1">
      <alignment horizontal="left" vertical="top"/>
    </xf>
    <xf numFmtId="166" fontId="3" fillId="10" borderId="22" xfId="11" applyNumberFormat="1" applyFont="1" applyFill="1" applyBorder="1" applyAlignment="1">
      <alignment vertical="top"/>
    </xf>
    <xf numFmtId="166" fontId="3" fillId="10" borderId="17" xfId="11" applyNumberFormat="1" applyFont="1" applyFill="1" applyBorder="1" applyAlignment="1">
      <alignment vertical="top"/>
    </xf>
    <xf numFmtId="0" fontId="0" fillId="10" borderId="21" xfId="0" applyFill="1" applyBorder="1" applyAlignment="1">
      <alignment horizontal="left" vertical="top" indent="1"/>
    </xf>
    <xf numFmtId="166" fontId="24" fillId="10" borderId="22" xfId="11" applyNumberFormat="1" applyFont="1" applyFill="1" applyBorder="1" applyAlignment="1">
      <alignment horizontal="left" vertical="top"/>
    </xf>
    <xf numFmtId="166" fontId="24" fillId="10" borderId="22" xfId="11" applyNumberFormat="1" applyFont="1" applyFill="1" applyBorder="1" applyAlignment="1">
      <alignment vertical="top"/>
    </xf>
    <xf numFmtId="43" fontId="25" fillId="10" borderId="22" xfId="11" applyNumberFormat="1" applyFont="1" applyFill="1" applyBorder="1" applyAlignment="1">
      <alignment vertical="top"/>
    </xf>
    <xf numFmtId="43" fontId="25" fillId="10" borderId="17" xfId="11" applyNumberFormat="1" applyFont="1" applyFill="1" applyBorder="1" applyAlignment="1">
      <alignment vertical="top"/>
    </xf>
    <xf numFmtId="166" fontId="25" fillId="10" borderId="17" xfId="11" applyNumberFormat="1" applyFont="1" applyFill="1" applyBorder="1" applyAlignment="1">
      <alignment vertical="top"/>
    </xf>
    <xf numFmtId="166" fontId="25" fillId="10" borderId="22" xfId="11" applyNumberFormat="1" applyFont="1" applyFill="1" applyBorder="1" applyAlignment="1">
      <alignment vertical="top"/>
    </xf>
    <xf numFmtId="0" fontId="0" fillId="10" borderId="21" xfId="0" applyFill="1" applyBorder="1" applyAlignment="1">
      <alignment horizontal="left" vertical="top" indent="2"/>
    </xf>
    <xf numFmtId="166" fontId="25" fillId="10" borderId="22" xfId="11" applyNumberFormat="1" applyFont="1" applyFill="1" applyBorder="1" applyAlignment="1">
      <alignment horizontal="left" vertical="top"/>
    </xf>
    <xf numFmtId="0" fontId="3" fillId="10" borderId="26" xfId="0" applyFont="1" applyFill="1" applyBorder="1" applyAlignment="1">
      <alignment vertical="top"/>
    </xf>
    <xf numFmtId="166" fontId="3" fillId="10" borderId="29" xfId="11" applyNumberFormat="1" applyFont="1" applyFill="1" applyBorder="1" applyAlignment="1">
      <alignment vertical="top"/>
    </xf>
    <xf numFmtId="166" fontId="3" fillId="10" borderId="28" xfId="11" applyNumberFormat="1" applyFont="1" applyFill="1" applyBorder="1" applyAlignment="1">
      <alignment vertical="top"/>
    </xf>
    <xf numFmtId="0" fontId="18" fillId="0" borderId="0" xfId="0" applyFont="1" applyFill="1" applyBorder="1" applyAlignment="1">
      <alignment horizontal="right"/>
    </xf>
    <xf numFmtId="43" fontId="18" fillId="0" borderId="0" xfId="11" applyFont="1" applyFill="1" applyBorder="1" applyAlignment="1">
      <alignment horizontal="right"/>
    </xf>
    <xf numFmtId="43" fontId="12" fillId="0" borderId="0" xfId="11" applyFont="1" applyFill="1" applyBorder="1" applyAlignment="1">
      <alignment horizontal="right"/>
    </xf>
    <xf numFmtId="166" fontId="0" fillId="10" borderId="30" xfId="11" applyNumberFormat="1" applyFont="1" applyFill="1" applyBorder="1" applyAlignment="1">
      <alignment vertical="top"/>
    </xf>
    <xf numFmtId="0" fontId="3" fillId="10" borderId="32" xfId="0" applyFont="1" applyFill="1" applyBorder="1" applyAlignment="1">
      <alignment vertical="top"/>
    </xf>
    <xf numFmtId="166" fontId="3" fillId="10" borderId="31" xfId="11" applyNumberFormat="1" applyFont="1" applyFill="1" applyBorder="1" applyAlignment="1">
      <alignment horizontal="left" vertical="top"/>
    </xf>
    <xf numFmtId="166" fontId="3" fillId="10" borderId="31" xfId="11" applyNumberFormat="1" applyFont="1" applyFill="1" applyBorder="1" applyAlignment="1">
      <alignment vertical="top"/>
    </xf>
    <xf numFmtId="166" fontId="3" fillId="10" borderId="33" xfId="11" applyNumberFormat="1" applyFont="1" applyFill="1" applyBorder="1" applyAlignment="1">
      <alignment vertical="top"/>
    </xf>
    <xf numFmtId="0" fontId="0" fillId="10" borderId="35" xfId="0" applyFill="1" applyBorder="1" applyAlignment="1">
      <alignment vertical="top"/>
    </xf>
    <xf numFmtId="166" fontId="0" fillId="10" borderId="34" xfId="11" applyNumberFormat="1" applyFont="1" applyFill="1" applyBorder="1" applyAlignment="1">
      <alignment horizontal="left" vertical="top"/>
    </xf>
    <xf numFmtId="166" fontId="0" fillId="10" borderId="34" xfId="11" applyNumberFormat="1" applyFont="1" applyFill="1" applyBorder="1" applyAlignment="1">
      <alignment vertical="top"/>
    </xf>
    <xf numFmtId="166" fontId="0" fillId="10" borderId="36" xfId="11" applyNumberFormat="1" applyFont="1" applyFill="1" applyBorder="1" applyAlignment="1">
      <alignment vertical="top"/>
    </xf>
    <xf numFmtId="0" fontId="0" fillId="10" borderId="35" xfId="0" applyFill="1" applyBorder="1" applyAlignment="1">
      <alignment horizontal="left" vertical="top" indent="1"/>
    </xf>
    <xf numFmtId="166" fontId="24" fillId="10" borderId="34" xfId="11" applyNumberFormat="1" applyFont="1" applyFill="1" applyBorder="1" applyAlignment="1">
      <alignment horizontal="left" vertical="top"/>
    </xf>
    <xf numFmtId="166" fontId="24" fillId="10" borderId="34" xfId="11" applyNumberFormat="1" applyFont="1" applyFill="1" applyBorder="1" applyAlignment="1">
      <alignment vertical="top"/>
    </xf>
    <xf numFmtId="166" fontId="25" fillId="10" borderId="34" xfId="11" applyNumberFormat="1" applyFont="1" applyFill="1" applyBorder="1" applyAlignment="1">
      <alignment vertical="top"/>
    </xf>
    <xf numFmtId="166" fontId="25" fillId="10" borderId="36" xfId="11" applyNumberFormat="1" applyFont="1" applyFill="1" applyBorder="1" applyAlignment="1">
      <alignment vertical="top"/>
    </xf>
    <xf numFmtId="0" fontId="3" fillId="10" borderId="38" xfId="0" applyFont="1" applyFill="1" applyBorder="1" applyAlignment="1">
      <alignment vertical="top"/>
    </xf>
    <xf numFmtId="166" fontId="3" fillId="10" borderId="37" xfId="11" applyNumberFormat="1" applyFont="1" applyFill="1" applyBorder="1" applyAlignment="1">
      <alignment vertical="top"/>
    </xf>
    <xf numFmtId="166" fontId="3" fillId="10" borderId="39" xfId="11" applyNumberFormat="1" applyFont="1" applyFill="1" applyBorder="1" applyAlignment="1">
      <alignment vertical="top"/>
    </xf>
    <xf numFmtId="166" fontId="3" fillId="0" borderId="37" xfId="11" applyNumberFormat="1" applyFont="1" applyFill="1" applyBorder="1" applyAlignment="1">
      <alignment horizontal="left" vertical="top"/>
    </xf>
    <xf numFmtId="43" fontId="18" fillId="10" borderId="0" xfId="0" applyNumberFormat="1" applyFont="1" applyFill="1" applyBorder="1"/>
    <xf numFmtId="0" fontId="27" fillId="26" borderId="0" xfId="0" applyFont="1" applyFill="1"/>
    <xf numFmtId="0" fontId="28" fillId="26" borderId="0" xfId="0" applyFont="1" applyFill="1"/>
    <xf numFmtId="0" fontId="0" fillId="10" borderId="22" xfId="0" applyFill="1" applyBorder="1" applyAlignment="1">
      <alignment horizontal="left" vertical="top" indent="1"/>
    </xf>
    <xf numFmtId="0" fontId="4" fillId="10" borderId="0" xfId="0" applyFont="1" applyFill="1"/>
    <xf numFmtId="165" fontId="4" fillId="10" borderId="0" xfId="1" applyNumberFormat="1" applyFont="1" applyFill="1"/>
    <xf numFmtId="0" fontId="4" fillId="7" borderId="23" xfId="0" applyFont="1" applyFill="1" applyBorder="1"/>
    <xf numFmtId="165" fontId="4" fillId="7" borderId="25" xfId="1" applyNumberFormat="1" applyFont="1" applyFill="1" applyBorder="1"/>
    <xf numFmtId="0" fontId="4" fillId="7" borderId="21" xfId="0" applyFont="1" applyFill="1" applyBorder="1"/>
    <xf numFmtId="165" fontId="4" fillId="7" borderId="17" xfId="1" applyNumberFormat="1" applyFont="1" applyFill="1" applyBorder="1"/>
    <xf numFmtId="0" fontId="4" fillId="7" borderId="21" xfId="0" applyFont="1" applyFill="1" applyBorder="1" applyAlignment="1">
      <alignment horizontal="left" indent="1"/>
    </xf>
    <xf numFmtId="165" fontId="0" fillId="12" borderId="1" xfId="0" applyNumberFormat="1" applyFill="1" applyBorder="1"/>
    <xf numFmtId="166" fontId="0" fillId="6" borderId="7" xfId="0" applyNumberFormat="1" applyFill="1" applyBorder="1"/>
    <xf numFmtId="165" fontId="0" fillId="16" borderId="7" xfId="0" applyNumberFormat="1" applyFont="1" applyFill="1" applyBorder="1"/>
    <xf numFmtId="165" fontId="0" fillId="5" borderId="7" xfId="0" applyNumberFormat="1" applyFill="1" applyBorder="1"/>
    <xf numFmtId="165" fontId="0" fillId="21" borderId="7" xfId="0" applyNumberFormat="1" applyFill="1" applyBorder="1"/>
    <xf numFmtId="165" fontId="0" fillId="17" borderId="7" xfId="0" applyNumberFormat="1" applyFill="1" applyBorder="1"/>
    <xf numFmtId="165" fontId="0" fillId="18" borderId="7" xfId="0" applyNumberFormat="1" applyFill="1" applyBorder="1"/>
    <xf numFmtId="165" fontId="0" fillId="19" borderId="7" xfId="0" applyNumberFormat="1" applyFill="1" applyBorder="1"/>
    <xf numFmtId="165" fontId="0" fillId="20" borderId="7" xfId="0" applyNumberFormat="1" applyFill="1" applyBorder="1"/>
    <xf numFmtId="165" fontId="0" fillId="22" borderId="7" xfId="0" applyNumberFormat="1" applyFill="1" applyBorder="1"/>
    <xf numFmtId="165" fontId="0" fillId="15" borderId="7" xfId="0" applyNumberFormat="1" applyFill="1" applyBorder="1"/>
    <xf numFmtId="165" fontId="0" fillId="23" borderId="5" xfId="0" applyNumberFormat="1" applyFill="1" applyBorder="1"/>
    <xf numFmtId="0" fontId="0" fillId="19" borderId="0" xfId="0" applyFill="1"/>
    <xf numFmtId="166" fontId="18" fillId="10" borderId="0" xfId="0" applyNumberFormat="1" applyFont="1" applyFill="1" applyBorder="1"/>
    <xf numFmtId="43" fontId="31" fillId="0" borderId="0" xfId="11" applyFont="1" applyFill="1" applyBorder="1" applyAlignment="1">
      <alignment horizontal="right"/>
    </xf>
    <xf numFmtId="0" fontId="2" fillId="29" borderId="14" xfId="0" applyFont="1" applyFill="1" applyBorder="1"/>
    <xf numFmtId="0" fontId="2" fillId="29" borderId="15" xfId="0" applyFont="1" applyFill="1" applyBorder="1"/>
    <xf numFmtId="0" fontId="32" fillId="26" borderId="16" xfId="0" applyFont="1" applyFill="1" applyBorder="1" applyAlignment="1">
      <alignment vertical="top"/>
    </xf>
    <xf numFmtId="165" fontId="14" fillId="0" borderId="0" xfId="1" applyNumberFormat="1" applyFont="1" applyAlignment="1">
      <alignment horizontal="center" vertical="top" wrapText="1"/>
    </xf>
    <xf numFmtId="166" fontId="14" fillId="0" borderId="0" xfId="0" applyNumberFormat="1" applyFont="1" applyAlignment="1">
      <alignment horizontal="center" vertical="top" wrapText="1"/>
    </xf>
    <xf numFmtId="165" fontId="0" fillId="11" borderId="1" xfId="0" applyNumberFormat="1" applyFill="1" applyBorder="1"/>
    <xf numFmtId="166" fontId="0" fillId="11" borderId="7" xfId="0" applyNumberFormat="1" applyFill="1" applyBorder="1"/>
    <xf numFmtId="165" fontId="0" fillId="11" borderId="7" xfId="0" applyNumberFormat="1" applyFill="1" applyBorder="1"/>
    <xf numFmtId="165" fontId="0" fillId="3" borderId="7" xfId="0" applyNumberFormat="1" applyFill="1" applyBorder="1"/>
    <xf numFmtId="165" fontId="0" fillId="2" borderId="7" xfId="0" applyNumberFormat="1" applyFill="1" applyBorder="1"/>
    <xf numFmtId="165" fontId="0" fillId="2" borderId="5" xfId="0" applyNumberFormat="1" applyFill="1" applyBorder="1"/>
    <xf numFmtId="165" fontId="0" fillId="2" borderId="6" xfId="0" applyNumberFormat="1" applyFill="1" applyBorder="1"/>
    <xf numFmtId="0" fontId="0" fillId="0" borderId="0" xfId="0" applyFill="1" applyBorder="1" applyAlignment="1">
      <alignment horizontal="center"/>
    </xf>
    <xf numFmtId="0" fontId="8" fillId="4" borderId="7" xfId="0" applyFont="1" applyFill="1" applyBorder="1" applyAlignment="1">
      <alignment horizontal="center"/>
    </xf>
    <xf numFmtId="0" fontId="2" fillId="9" borderId="7" xfId="0" applyFont="1" applyFill="1" applyBorder="1" applyAlignment="1">
      <alignment horizontal="center" vertical="center"/>
    </xf>
    <xf numFmtId="0" fontId="3" fillId="0" borderId="0" xfId="0" applyFont="1" applyFill="1" applyBorder="1" applyAlignment="1">
      <alignment horizontal="left" wrapText="1"/>
    </xf>
    <xf numFmtId="0" fontId="3" fillId="0" borderId="0" xfId="0" applyFont="1" applyFill="1" applyBorder="1"/>
    <xf numFmtId="0" fontId="3" fillId="0" borderId="0" xfId="0" applyFont="1" applyFill="1" applyBorder="1" applyAlignment="1">
      <alignment horizontal="center"/>
    </xf>
    <xf numFmtId="165" fontId="3" fillId="8" borderId="15" xfId="1" applyNumberFormat="1" applyFont="1" applyFill="1" applyBorder="1" applyAlignment="1">
      <alignment horizontal="right"/>
    </xf>
    <xf numFmtId="0" fontId="0" fillId="0" borderId="6" xfId="0" applyFont="1" applyBorder="1"/>
    <xf numFmtId="165" fontId="0" fillId="0" borderId="6" xfId="0" applyNumberFormat="1" applyFont="1" applyBorder="1"/>
    <xf numFmtId="165" fontId="0" fillId="0" borderId="6" xfId="1" applyNumberFormat="1" applyFont="1" applyBorder="1"/>
    <xf numFmtId="0" fontId="0" fillId="0" borderId="0" xfId="0" applyFont="1"/>
    <xf numFmtId="0" fontId="0" fillId="0" borderId="0" xfId="0" applyFont="1" applyFill="1" applyBorder="1"/>
    <xf numFmtId="165" fontId="3" fillId="0" borderId="6" xfId="1" applyNumberFormat="1" applyFont="1" applyBorder="1"/>
    <xf numFmtId="165" fontId="3" fillId="0" borderId="6" xfId="1" applyNumberFormat="1" applyFont="1" applyBorder="1" applyAlignment="1">
      <alignment horizontal="center"/>
    </xf>
    <xf numFmtId="165" fontId="0" fillId="0" borderId="13" xfId="1" applyNumberFormat="1" applyFont="1" applyBorder="1" applyAlignment="1">
      <alignment horizontal="center"/>
    </xf>
    <xf numFmtId="0" fontId="0" fillId="0" borderId="0" xfId="0" applyFont="1" applyFill="1" applyBorder="1" applyAlignment="1">
      <alignment wrapText="1"/>
    </xf>
    <xf numFmtId="165" fontId="0" fillId="0" borderId="13" xfId="1" applyNumberFormat="1" applyFont="1" applyFill="1" applyBorder="1" applyAlignment="1">
      <alignment horizontal="center"/>
    </xf>
    <xf numFmtId="0" fontId="0" fillId="0" borderId="6" xfId="0" applyFont="1" applyFill="1" applyBorder="1"/>
    <xf numFmtId="0" fontId="0" fillId="10" borderId="0" xfId="0" applyFont="1" applyFill="1"/>
    <xf numFmtId="0" fontId="0" fillId="10" borderId="0" xfId="0" applyFont="1" applyFill="1" applyBorder="1"/>
    <xf numFmtId="165" fontId="0" fillId="0" borderId="6" xfId="1" applyNumberFormat="1" applyFont="1" applyFill="1" applyBorder="1"/>
    <xf numFmtId="165" fontId="0" fillId="0" borderId="6" xfId="1" applyNumberFormat="1" applyFont="1" applyFill="1" applyBorder="1" applyAlignment="1">
      <alignment horizontal="center"/>
    </xf>
    <xf numFmtId="3" fontId="0" fillId="0" borderId="13" xfId="0" applyNumberFormat="1" applyFont="1" applyBorder="1" applyAlignment="1">
      <alignment horizontal="center"/>
    </xf>
    <xf numFmtId="6" fontId="0" fillId="0" borderId="6" xfId="0" applyNumberFormat="1" applyFont="1" applyBorder="1"/>
    <xf numFmtId="0" fontId="0" fillId="0" borderId="13" xfId="0" applyFont="1" applyBorder="1" applyAlignment="1">
      <alignment horizontal="center"/>
    </xf>
    <xf numFmtId="165" fontId="3" fillId="0" borderId="13" xfId="1" applyNumberFormat="1" applyFont="1" applyFill="1" applyBorder="1" applyAlignment="1">
      <alignment horizontal="center"/>
    </xf>
    <xf numFmtId="165" fontId="3" fillId="0" borderId="13" xfId="1" applyNumberFormat="1" applyFont="1" applyBorder="1" applyAlignment="1">
      <alignment horizontal="center"/>
    </xf>
    <xf numFmtId="165" fontId="0" fillId="0" borderId="13" xfId="0" applyNumberFormat="1" applyFont="1" applyBorder="1" applyAlignment="1">
      <alignment horizontal="center"/>
    </xf>
    <xf numFmtId="165" fontId="0" fillId="0" borderId="6" xfId="0" applyNumberFormat="1" applyFont="1" applyFill="1" applyBorder="1"/>
    <xf numFmtId="3" fontId="0" fillId="0" borderId="6" xfId="0" applyNumberFormat="1" applyFont="1" applyBorder="1" applyAlignment="1"/>
    <xf numFmtId="165" fontId="0" fillId="0" borderId="6" xfId="1" applyNumberFormat="1" applyFont="1" applyBorder="1" applyAlignment="1">
      <alignment horizontal="center"/>
    </xf>
    <xf numFmtId="43" fontId="0" fillId="0" borderId="6" xfId="0" applyNumberFormat="1" applyFont="1" applyBorder="1"/>
    <xf numFmtId="165" fontId="0" fillId="0" borderId="0" xfId="0" applyNumberFormat="1" applyFont="1"/>
    <xf numFmtId="0" fontId="0" fillId="0" borderId="12" xfId="0" applyFont="1" applyBorder="1"/>
    <xf numFmtId="0" fontId="0" fillId="0" borderId="13" xfId="0" applyFont="1" applyBorder="1"/>
    <xf numFmtId="165" fontId="0" fillId="0" borderId="12" xfId="1" applyNumberFormat="1" applyFont="1" applyBorder="1"/>
    <xf numFmtId="165" fontId="3" fillId="0" borderId="13" xfId="1" applyNumberFormat="1" applyFont="1" applyBorder="1"/>
    <xf numFmtId="165" fontId="0" fillId="0" borderId="12" xfId="1" applyNumberFormat="1" applyFont="1" applyFill="1" applyBorder="1"/>
    <xf numFmtId="165" fontId="0" fillId="0" borderId="13" xfId="1" applyNumberFormat="1" applyFont="1" applyFill="1" applyBorder="1"/>
    <xf numFmtId="165" fontId="0" fillId="0" borderId="6" xfId="0" applyNumberFormat="1" applyFont="1" applyBorder="1" applyAlignment="1">
      <alignment horizontal="center"/>
    </xf>
    <xf numFmtId="165" fontId="1" fillId="0" borderId="6" xfId="1" applyNumberFormat="1" applyFont="1" applyBorder="1" applyAlignment="1">
      <alignment horizontal="center"/>
    </xf>
    <xf numFmtId="165" fontId="0" fillId="0" borderId="6" xfId="1" applyNumberFormat="1" applyFont="1" applyFill="1" applyBorder="1" applyAlignment="1"/>
    <xf numFmtId="165" fontId="0" fillId="0" borderId="6" xfId="0" applyNumberFormat="1" applyFont="1" applyBorder="1" applyAlignment="1"/>
    <xf numFmtId="165" fontId="1" fillId="0" borderId="6" xfId="1" applyNumberFormat="1" applyFont="1" applyBorder="1" applyAlignment="1"/>
    <xf numFmtId="0" fontId="4" fillId="10" borderId="0" xfId="0" applyFont="1" applyFill="1" applyBorder="1"/>
    <xf numFmtId="0" fontId="33" fillId="10" borderId="0" xfId="0" applyFont="1" applyFill="1" applyBorder="1"/>
    <xf numFmtId="166" fontId="4" fillId="10" borderId="0" xfId="0" applyNumberFormat="1" applyFont="1" applyFill="1" applyBorder="1"/>
    <xf numFmtId="165" fontId="4" fillId="10" borderId="0" xfId="0" applyNumberFormat="1" applyFont="1" applyFill="1" applyBorder="1"/>
    <xf numFmtId="0" fontId="4" fillId="0" borderId="0" xfId="0" applyFont="1" applyBorder="1"/>
    <xf numFmtId="167" fontId="4" fillId="0" borderId="0" xfId="0" applyNumberFormat="1" applyFont="1" applyBorder="1"/>
    <xf numFmtId="166" fontId="4" fillId="0" borderId="0" xfId="0" applyNumberFormat="1" applyFont="1" applyBorder="1"/>
    <xf numFmtId="0" fontId="34" fillId="0" borderId="0" xfId="0" applyFont="1"/>
    <xf numFmtId="166" fontId="3" fillId="24" borderId="12" xfId="1" applyNumberFormat="1" applyFont="1" applyFill="1" applyBorder="1" applyAlignment="1">
      <alignment horizontal="center" vertical="center" wrapText="1"/>
    </xf>
    <xf numFmtId="166" fontId="3" fillId="24" borderId="19" xfId="1" applyNumberFormat="1" applyFont="1" applyFill="1" applyBorder="1" applyAlignment="1">
      <alignment horizontal="center" vertical="center" wrapText="1"/>
    </xf>
    <xf numFmtId="166" fontId="3" fillId="24" borderId="12" xfId="1" applyNumberFormat="1" applyFont="1" applyFill="1" applyBorder="1" applyAlignment="1">
      <alignment horizontal="center" vertical="center" wrapText="1"/>
    </xf>
    <xf numFmtId="166" fontId="3" fillId="24" borderId="19" xfId="1" applyNumberFormat="1" applyFont="1" applyFill="1" applyBorder="1" applyAlignment="1">
      <alignment horizontal="center" vertical="center" wrapText="1"/>
    </xf>
    <xf numFmtId="166" fontId="3" fillId="0" borderId="0" xfId="0" applyNumberFormat="1" applyFont="1" applyFill="1" applyBorder="1"/>
    <xf numFmtId="166" fontId="16" fillId="0" borderId="0" xfId="0" applyNumberFormat="1" applyFont="1" applyFill="1" applyBorder="1" applyAlignment="1">
      <alignment horizontal="center" vertical="top" wrapText="1"/>
    </xf>
    <xf numFmtId="0" fontId="16" fillId="0" borderId="0" xfId="0" applyFont="1" applyFill="1" applyBorder="1" applyAlignment="1">
      <alignment horizontal="center" vertical="top" wrapText="1"/>
    </xf>
    <xf numFmtId="43" fontId="0" fillId="0" borderId="0" xfId="0" applyNumberFormat="1" applyFill="1"/>
    <xf numFmtId="166" fontId="3" fillId="0" borderId="0" xfId="1" applyNumberFormat="1" applyFont="1" applyFill="1" applyBorder="1" applyAlignment="1">
      <alignment vertical="center"/>
    </xf>
    <xf numFmtId="166" fontId="3" fillId="0" borderId="2" xfId="1" applyNumberFormat="1" applyFont="1" applyFill="1" applyBorder="1" applyAlignment="1">
      <alignment horizontal="center" vertical="center" wrapText="1"/>
    </xf>
    <xf numFmtId="166" fontId="3" fillId="0" borderId="8" xfId="1" applyNumberFormat="1" applyFont="1" applyFill="1" applyBorder="1" applyAlignment="1">
      <alignment horizontal="center" vertical="center" wrapText="1"/>
    </xf>
    <xf numFmtId="165" fontId="3" fillId="25" borderId="6" xfId="1" applyNumberFormat="1" applyFont="1" applyFill="1" applyBorder="1"/>
    <xf numFmtId="166" fontId="4" fillId="0" borderId="0" xfId="0" applyNumberFormat="1" applyFont="1" applyAlignment="1">
      <alignment horizontal="left"/>
    </xf>
    <xf numFmtId="0" fontId="3" fillId="0" borderId="3" xfId="0" applyFont="1" applyBorder="1" applyAlignment="1">
      <alignment horizontal="center" vertical="top" wrapText="1"/>
    </xf>
    <xf numFmtId="43" fontId="3" fillId="0" borderId="3" xfId="0" applyNumberFormat="1" applyFont="1" applyBorder="1" applyAlignment="1">
      <alignment horizontal="center" vertical="top" wrapText="1"/>
    </xf>
    <xf numFmtId="166" fontId="2" fillId="0" borderId="3" xfId="0" applyNumberFormat="1" applyFont="1" applyBorder="1" applyAlignment="1">
      <alignment horizontal="center" vertical="top" wrapText="1"/>
    </xf>
    <xf numFmtId="165" fontId="3" fillId="0" borderId="0" xfId="1" applyNumberFormat="1" applyFont="1" applyBorder="1" applyAlignment="1">
      <alignment horizontal="center" vertical="top" wrapText="1"/>
    </xf>
    <xf numFmtId="0" fontId="3" fillId="0" borderId="0" xfId="0" applyFont="1" applyBorder="1" applyAlignment="1">
      <alignment horizontal="center" vertical="top" wrapText="1"/>
    </xf>
    <xf numFmtId="165" fontId="36" fillId="0" borderId="0" xfId="1" applyNumberFormat="1" applyFont="1" applyBorder="1" applyAlignment="1">
      <alignment horizontal="center" vertical="top" wrapText="1"/>
    </xf>
    <xf numFmtId="166" fontId="3" fillId="25" borderId="6" xfId="0" applyNumberFormat="1" applyFont="1" applyFill="1" applyBorder="1" applyAlignment="1">
      <alignment horizontal="center" vertical="top" wrapText="1"/>
    </xf>
    <xf numFmtId="0" fontId="3" fillId="25" borderId="6" xfId="0" applyFont="1" applyFill="1" applyBorder="1" applyAlignment="1">
      <alignment horizontal="center" vertical="top" wrapText="1"/>
    </xf>
    <xf numFmtId="169" fontId="3" fillId="25" borderId="6" xfId="3" applyNumberFormat="1" applyFont="1" applyFill="1" applyBorder="1" applyAlignment="1">
      <alignment horizontal="center" vertical="top" wrapText="1"/>
    </xf>
    <xf numFmtId="166" fontId="1" fillId="0" borderId="3" xfId="0" applyNumberFormat="1" applyFont="1" applyBorder="1"/>
    <xf numFmtId="0" fontId="1" fillId="0" borderId="3" xfId="0" applyFont="1" applyBorder="1"/>
    <xf numFmtId="0" fontId="1" fillId="0" borderId="4" xfId="0" applyFont="1" applyBorder="1"/>
    <xf numFmtId="165" fontId="1" fillId="0" borderId="0" xfId="1" applyNumberFormat="1" applyFont="1" applyBorder="1"/>
    <xf numFmtId="165" fontId="1" fillId="0" borderId="0" xfId="1" applyNumberFormat="1" applyFont="1" applyBorder="1" applyAlignment="1">
      <alignment horizontal="center" vertical="top" wrapText="1"/>
    </xf>
    <xf numFmtId="165" fontId="1" fillId="0" borderId="0" xfId="1" applyNumberFormat="1" applyFont="1" applyBorder="1" applyAlignment="1">
      <alignment horizontal="center" vertical="center"/>
    </xf>
    <xf numFmtId="0" fontId="1" fillId="0" borderId="0" xfId="0" applyFont="1" applyBorder="1"/>
    <xf numFmtId="0" fontId="1" fillId="0" borderId="9" xfId="0" applyFont="1" applyBorder="1"/>
    <xf numFmtId="166" fontId="1" fillId="0" borderId="0" xfId="0" applyNumberFormat="1" applyFont="1"/>
    <xf numFmtId="0" fontId="3" fillId="0" borderId="0" xfId="0" applyFont="1" applyAlignment="1">
      <alignment horizontal="center" vertical="top" wrapText="1"/>
    </xf>
    <xf numFmtId="0" fontId="1" fillId="0" borderId="0" xfId="0" applyFont="1"/>
    <xf numFmtId="43" fontId="3" fillId="0" borderId="0" xfId="0" applyNumberFormat="1" applyFont="1" applyAlignment="1">
      <alignment horizontal="center" vertical="top" wrapText="1"/>
    </xf>
    <xf numFmtId="166" fontId="2" fillId="0" borderId="0" xfId="0" applyNumberFormat="1" applyFont="1" applyAlignment="1">
      <alignment horizontal="center" vertical="top" wrapText="1"/>
    </xf>
    <xf numFmtId="166" fontId="3" fillId="0" borderId="0" xfId="0" applyNumberFormat="1" applyFont="1" applyAlignment="1">
      <alignment horizontal="center" vertical="top" wrapText="1"/>
    </xf>
    <xf numFmtId="165" fontId="1" fillId="0" borderId="6" xfId="1" quotePrefix="1" applyNumberFormat="1" applyFont="1" applyFill="1" applyBorder="1" applyAlignment="1">
      <alignment horizontal="center" vertical="center" wrapText="1"/>
    </xf>
    <xf numFmtId="0" fontId="1" fillId="0" borderId="0" xfId="0" applyFont="1" applyAlignment="1">
      <alignment horizontal="center"/>
    </xf>
    <xf numFmtId="0" fontId="35" fillId="0" borderId="0" xfId="0" applyFont="1" applyAlignment="1">
      <alignment horizontal="left"/>
    </xf>
    <xf numFmtId="166" fontId="1" fillId="0" borderId="6" xfId="0" applyNumberFormat="1" applyFont="1" applyBorder="1" applyAlignment="1">
      <alignment horizontal="center" vertical="center"/>
    </xf>
    <xf numFmtId="164" fontId="1" fillId="0" borderId="0" xfId="1" applyFont="1"/>
    <xf numFmtId="165" fontId="0" fillId="0" borderId="2" xfId="1" applyNumberFormat="1" applyFont="1" applyBorder="1"/>
    <xf numFmtId="165" fontId="0" fillId="0" borderId="3" xfId="1" applyNumberFormat="1" applyFont="1" applyBorder="1"/>
    <xf numFmtId="165" fontId="0" fillId="0" borderId="4" xfId="1" applyNumberFormat="1" applyFont="1" applyBorder="1"/>
    <xf numFmtId="0" fontId="1" fillId="0" borderId="8" xfId="0" applyFont="1" applyBorder="1"/>
    <xf numFmtId="165" fontId="0" fillId="0" borderId="8" xfId="1" applyNumberFormat="1" applyFont="1" applyBorder="1"/>
    <xf numFmtId="165" fontId="0" fillId="0" borderId="0" xfId="1" applyNumberFormat="1" applyFont="1" applyBorder="1"/>
    <xf numFmtId="165" fontId="0" fillId="0" borderId="9" xfId="1" applyNumberFormat="1" applyFont="1" applyBorder="1"/>
    <xf numFmtId="167" fontId="3" fillId="25" borderId="6" xfId="3" applyNumberFormat="1" applyFont="1" applyFill="1" applyBorder="1"/>
    <xf numFmtId="9" fontId="0" fillId="0" borderId="0" xfId="3" applyFont="1" applyFill="1" applyBorder="1" applyAlignment="1">
      <alignment horizontal="center"/>
    </xf>
    <xf numFmtId="164" fontId="0" fillId="0" borderId="0" xfId="1" applyFont="1"/>
    <xf numFmtId="0" fontId="36" fillId="0" borderId="0" xfId="0" applyFont="1"/>
    <xf numFmtId="0" fontId="36" fillId="10" borderId="0" xfId="0" applyFont="1" applyFill="1"/>
    <xf numFmtId="166" fontId="3" fillId="0" borderId="22" xfId="11" applyNumberFormat="1" applyFont="1" applyFill="1" applyBorder="1" applyAlignment="1">
      <alignment vertical="top"/>
    </xf>
    <xf numFmtId="166" fontId="24" fillId="0" borderId="22" xfId="11" applyNumberFormat="1" applyFont="1" applyFill="1" applyBorder="1" applyAlignment="1">
      <alignment vertical="top"/>
    </xf>
    <xf numFmtId="166" fontId="24" fillId="0" borderId="34" xfId="11" applyNumberFormat="1" applyFont="1" applyFill="1" applyBorder="1" applyAlignment="1">
      <alignment vertical="top"/>
    </xf>
    <xf numFmtId="166" fontId="3" fillId="0" borderId="37" xfId="11" applyNumberFormat="1" applyFont="1" applyFill="1" applyBorder="1" applyAlignment="1">
      <alignment vertical="top"/>
    </xf>
    <xf numFmtId="166" fontId="37" fillId="0" borderId="22" xfId="11" applyNumberFormat="1" applyFont="1" applyFill="1" applyBorder="1" applyAlignment="1">
      <alignment vertical="top"/>
    </xf>
    <xf numFmtId="166" fontId="25" fillId="0" borderId="22" xfId="11" applyNumberFormat="1" applyFont="1" applyFill="1" applyBorder="1" applyAlignment="1">
      <alignment vertical="top"/>
    </xf>
    <xf numFmtId="166" fontId="3" fillId="0" borderId="31" xfId="11" applyNumberFormat="1" applyFont="1" applyFill="1" applyBorder="1" applyAlignment="1">
      <alignment vertical="top"/>
    </xf>
    <xf numFmtId="165" fontId="0" fillId="0" borderId="0" xfId="1" applyNumberFormat="1" applyFont="1"/>
    <xf numFmtId="0" fontId="4" fillId="7" borderId="0" xfId="0" applyFont="1" applyFill="1" applyBorder="1" applyAlignment="1">
      <alignment horizontal="left" indent="1"/>
    </xf>
    <xf numFmtId="165" fontId="4" fillId="7" borderId="0" xfId="1" applyNumberFormat="1" applyFont="1" applyFill="1" applyBorder="1"/>
    <xf numFmtId="0" fontId="4" fillId="7" borderId="0" xfId="0" applyFont="1" applyFill="1" applyBorder="1" applyAlignment="1">
      <alignment horizontal="left"/>
    </xf>
    <xf numFmtId="0" fontId="29" fillId="28" borderId="0" xfId="0" applyFont="1" applyFill="1" applyAlignment="1">
      <alignment horizontal="center"/>
    </xf>
    <xf numFmtId="0" fontId="3" fillId="19" borderId="0" xfId="0" applyFont="1" applyFill="1" applyAlignment="1">
      <alignment horizontal="center" vertical="top" wrapText="1"/>
    </xf>
    <xf numFmtId="0" fontId="3" fillId="19" borderId="0" xfId="0" applyFont="1" applyFill="1" applyAlignment="1">
      <alignment horizontal="center"/>
    </xf>
    <xf numFmtId="0" fontId="20" fillId="10" borderId="11" xfId="0" applyFont="1" applyFill="1" applyBorder="1" applyAlignment="1">
      <alignment horizontal="center"/>
    </xf>
    <xf numFmtId="0" fontId="14" fillId="9" borderId="12" xfId="0" applyFont="1" applyFill="1" applyBorder="1" applyAlignment="1">
      <alignment horizontal="center" vertical="center" wrapText="1"/>
    </xf>
    <xf numFmtId="0" fontId="14" fillId="9" borderId="19" xfId="0" applyFont="1" applyFill="1" applyBorder="1" applyAlignment="1">
      <alignment horizontal="center" vertical="center" wrapText="1"/>
    </xf>
    <xf numFmtId="0" fontId="14" fillId="9" borderId="13" xfId="0" applyFont="1" applyFill="1" applyBorder="1" applyAlignment="1">
      <alignment horizontal="center" vertical="center" wrapText="1"/>
    </xf>
    <xf numFmtId="0" fontId="14" fillId="9" borderId="10" xfId="0" applyFont="1" applyFill="1" applyBorder="1" applyAlignment="1">
      <alignment horizontal="center" vertical="center" wrapText="1"/>
    </xf>
    <xf numFmtId="0" fontId="14" fillId="9" borderId="11" xfId="0" applyFont="1" applyFill="1" applyBorder="1" applyAlignment="1">
      <alignment horizontal="center" vertical="center" wrapText="1"/>
    </xf>
    <xf numFmtId="0" fontId="14" fillId="9" borderId="18" xfId="0" applyFont="1" applyFill="1" applyBorder="1" applyAlignment="1">
      <alignment horizontal="center" vertical="center" wrapText="1"/>
    </xf>
    <xf numFmtId="0" fontId="26" fillId="10" borderId="0" xfId="0" applyFont="1" applyFill="1" applyBorder="1" applyAlignment="1">
      <alignment horizontal="center"/>
    </xf>
    <xf numFmtId="0" fontId="4" fillId="27" borderId="0" xfId="0" applyFont="1" applyFill="1" applyAlignment="1">
      <alignment horizontal="center"/>
    </xf>
    <xf numFmtId="0" fontId="4" fillId="28" borderId="27" xfId="0" applyFont="1" applyFill="1" applyBorder="1" applyAlignment="1">
      <alignment horizontal="center"/>
    </xf>
    <xf numFmtId="166" fontId="15" fillId="24" borderId="14" xfId="1" applyNumberFormat="1" applyFont="1" applyFill="1" applyBorder="1" applyAlignment="1">
      <alignment horizontal="center"/>
    </xf>
    <xf numFmtId="166" fontId="15" fillId="24" borderId="15" xfId="1" applyNumberFormat="1" applyFont="1" applyFill="1" applyBorder="1" applyAlignment="1">
      <alignment horizontal="center"/>
    </xf>
    <xf numFmtId="166" fontId="15" fillId="24" borderId="16" xfId="1" applyNumberFormat="1" applyFont="1" applyFill="1" applyBorder="1" applyAlignment="1">
      <alignment horizontal="center"/>
    </xf>
    <xf numFmtId="166" fontId="3" fillId="24" borderId="12" xfId="1" applyNumberFormat="1" applyFont="1" applyFill="1" applyBorder="1" applyAlignment="1">
      <alignment horizontal="center" vertical="center" wrapText="1"/>
    </xf>
    <xf numFmtId="166" fontId="3" fillId="24" borderId="19" xfId="1" applyNumberFormat="1" applyFont="1" applyFill="1" applyBorder="1" applyAlignment="1">
      <alignment horizontal="center" vertical="center" wrapText="1"/>
    </xf>
    <xf numFmtId="166" fontId="3" fillId="24" borderId="13" xfId="1" applyNumberFormat="1" applyFont="1" applyFill="1" applyBorder="1" applyAlignment="1">
      <alignment horizontal="center" vertical="center" wrapText="1"/>
    </xf>
    <xf numFmtId="165" fontId="3" fillId="24" borderId="12" xfId="1" applyNumberFormat="1" applyFont="1" applyFill="1" applyBorder="1" applyAlignment="1">
      <alignment horizontal="center" vertical="center" wrapText="1"/>
    </xf>
    <xf numFmtId="165" fontId="3" fillId="24" borderId="19" xfId="1" applyNumberFormat="1" applyFont="1" applyFill="1" applyBorder="1" applyAlignment="1">
      <alignment horizontal="center" vertical="center" wrapText="1"/>
    </xf>
    <xf numFmtId="165" fontId="3" fillId="24" borderId="13" xfId="1" applyNumberFormat="1" applyFont="1" applyFill="1" applyBorder="1" applyAlignment="1">
      <alignment horizontal="center" vertical="center" wrapText="1"/>
    </xf>
  </cellXfs>
  <cellStyles count="17">
    <cellStyle name="Comma" xfId="1" builtinId="3"/>
    <cellStyle name="Comma 2" xfId="9"/>
    <cellStyle name="Comma 2 2" xfId="12"/>
    <cellStyle name="Comma 2 3" xfId="13"/>
    <cellStyle name="Comma 2 4" xfId="11"/>
    <cellStyle name="Comma 4" xfId="15"/>
    <cellStyle name="Currency" xfId="2" builtinId="4"/>
    <cellStyle name="Normal" xfId="0" builtinId="0"/>
    <cellStyle name="Normal 2" xfId="8"/>
    <cellStyle name="Normal 2 2" xfId="10"/>
    <cellStyle name="Normal 2 3" xfId="16"/>
    <cellStyle name="Normal 35" xfId="7"/>
    <cellStyle name="Normal 36" xfId="4"/>
    <cellStyle name="Normal 42" xfId="5"/>
    <cellStyle name="Normal 45" xfId="6"/>
    <cellStyle name="Percent" xfId="3" builtinId="5"/>
    <cellStyle name="Percent 2" xfId="14"/>
  </cellStyles>
  <dxfs count="14">
    <dxf>
      <fill>
        <patternFill>
          <bgColor theme="9" tint="0.39994506668294322"/>
        </patternFill>
      </fill>
    </dxf>
    <dxf>
      <fill>
        <patternFill>
          <bgColor rgb="FFFF1F3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mruColors>
      <color rgb="FFFF1F3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4.xml"/><Relationship Id="rId13" Type="http://schemas.openxmlformats.org/officeDocument/2006/relationships/externalLink" Target="externalLinks/externalLink9.xml"/><Relationship Id="rId18" Type="http://schemas.openxmlformats.org/officeDocument/2006/relationships/externalLink" Target="externalLinks/externalLink14.xml"/><Relationship Id="rId26" Type="http://schemas.openxmlformats.org/officeDocument/2006/relationships/externalLink" Target="externalLinks/externalLink22.xml"/><Relationship Id="rId39" Type="http://schemas.openxmlformats.org/officeDocument/2006/relationships/externalLink" Target="externalLinks/externalLink35.xml"/><Relationship Id="rId3" Type="http://schemas.openxmlformats.org/officeDocument/2006/relationships/worksheet" Target="worksheets/sheet3.xml"/><Relationship Id="rId21" Type="http://schemas.openxmlformats.org/officeDocument/2006/relationships/externalLink" Target="externalLinks/externalLink17.xml"/><Relationship Id="rId34" Type="http://schemas.openxmlformats.org/officeDocument/2006/relationships/externalLink" Target="externalLinks/externalLink30.xml"/><Relationship Id="rId42" Type="http://schemas.openxmlformats.org/officeDocument/2006/relationships/externalLink" Target="externalLinks/externalLink38.xml"/><Relationship Id="rId47" Type="http://schemas.microsoft.com/office/2006/relationships/vbaProject" Target="vbaProject.bin"/><Relationship Id="rId7" Type="http://schemas.openxmlformats.org/officeDocument/2006/relationships/externalLink" Target="externalLinks/externalLink3.xml"/><Relationship Id="rId12" Type="http://schemas.openxmlformats.org/officeDocument/2006/relationships/externalLink" Target="externalLinks/externalLink8.xml"/><Relationship Id="rId17" Type="http://schemas.openxmlformats.org/officeDocument/2006/relationships/externalLink" Target="externalLinks/externalLink13.xml"/><Relationship Id="rId25" Type="http://schemas.openxmlformats.org/officeDocument/2006/relationships/externalLink" Target="externalLinks/externalLink21.xml"/><Relationship Id="rId33" Type="http://schemas.openxmlformats.org/officeDocument/2006/relationships/externalLink" Target="externalLinks/externalLink29.xml"/><Relationship Id="rId38" Type="http://schemas.openxmlformats.org/officeDocument/2006/relationships/externalLink" Target="externalLinks/externalLink34.xml"/><Relationship Id="rId46"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externalLink" Target="externalLinks/externalLink12.xml"/><Relationship Id="rId20" Type="http://schemas.openxmlformats.org/officeDocument/2006/relationships/externalLink" Target="externalLinks/externalLink16.xml"/><Relationship Id="rId29" Type="http://schemas.openxmlformats.org/officeDocument/2006/relationships/externalLink" Target="externalLinks/externalLink25.xml"/><Relationship Id="rId41" Type="http://schemas.openxmlformats.org/officeDocument/2006/relationships/externalLink" Target="externalLinks/externalLink37.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externalLink" Target="externalLinks/externalLink7.xml"/><Relationship Id="rId24" Type="http://schemas.openxmlformats.org/officeDocument/2006/relationships/externalLink" Target="externalLinks/externalLink20.xml"/><Relationship Id="rId32" Type="http://schemas.openxmlformats.org/officeDocument/2006/relationships/externalLink" Target="externalLinks/externalLink28.xml"/><Relationship Id="rId37" Type="http://schemas.openxmlformats.org/officeDocument/2006/relationships/externalLink" Target="externalLinks/externalLink33.xml"/><Relationship Id="rId40" Type="http://schemas.openxmlformats.org/officeDocument/2006/relationships/externalLink" Target="externalLinks/externalLink36.xml"/><Relationship Id="rId45" Type="http://schemas.openxmlformats.org/officeDocument/2006/relationships/sharedStrings" Target="sharedStrings.xml"/><Relationship Id="rId5" Type="http://schemas.openxmlformats.org/officeDocument/2006/relationships/externalLink" Target="externalLinks/externalLink1.xml"/><Relationship Id="rId15" Type="http://schemas.openxmlformats.org/officeDocument/2006/relationships/externalLink" Target="externalLinks/externalLink11.xml"/><Relationship Id="rId23" Type="http://schemas.openxmlformats.org/officeDocument/2006/relationships/externalLink" Target="externalLinks/externalLink19.xml"/><Relationship Id="rId28" Type="http://schemas.openxmlformats.org/officeDocument/2006/relationships/externalLink" Target="externalLinks/externalLink24.xml"/><Relationship Id="rId36" Type="http://schemas.openxmlformats.org/officeDocument/2006/relationships/externalLink" Target="externalLinks/externalLink32.xml"/><Relationship Id="rId10" Type="http://schemas.openxmlformats.org/officeDocument/2006/relationships/externalLink" Target="externalLinks/externalLink6.xml"/><Relationship Id="rId19" Type="http://schemas.openxmlformats.org/officeDocument/2006/relationships/externalLink" Target="externalLinks/externalLink15.xml"/><Relationship Id="rId31" Type="http://schemas.openxmlformats.org/officeDocument/2006/relationships/externalLink" Target="externalLinks/externalLink27.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externalLink" Target="externalLinks/externalLink5.xml"/><Relationship Id="rId14" Type="http://schemas.openxmlformats.org/officeDocument/2006/relationships/externalLink" Target="externalLinks/externalLink10.xml"/><Relationship Id="rId22" Type="http://schemas.openxmlformats.org/officeDocument/2006/relationships/externalLink" Target="externalLinks/externalLink18.xml"/><Relationship Id="rId27" Type="http://schemas.openxmlformats.org/officeDocument/2006/relationships/externalLink" Target="externalLinks/externalLink23.xml"/><Relationship Id="rId30" Type="http://schemas.openxmlformats.org/officeDocument/2006/relationships/externalLink" Target="externalLinks/externalLink26.xml"/><Relationship Id="rId35" Type="http://schemas.openxmlformats.org/officeDocument/2006/relationships/externalLink" Target="externalLinks/externalLink31.xml"/><Relationship Id="rId43"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144780</xdr:colOff>
          <xdr:row>8</xdr:row>
          <xdr:rowOff>91440</xdr:rowOff>
        </xdr:from>
        <xdr:to>
          <xdr:col>5</xdr:col>
          <xdr:colOff>182880</xdr:colOff>
          <xdr:row>10</xdr:row>
          <xdr:rowOff>38100</xdr:rowOff>
        </xdr:to>
        <xdr:sp macro="" textlink="">
          <xdr:nvSpPr>
            <xdr:cNvPr id="9217" name="Check Box 1" hidden="1">
              <a:extLst>
                <a:ext uri="{63B3BB69-23CF-44E3-9099-C40C66FF867C}">
                  <a14:compatExt spid="_x0000_s92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Approved EBIT Target.xlsx : Ying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175260</xdr:colOff>
          <xdr:row>3</xdr:row>
          <xdr:rowOff>175260</xdr:rowOff>
        </xdr:from>
        <xdr:to>
          <xdr:col>4</xdr:col>
          <xdr:colOff>464820</xdr:colOff>
          <xdr:row>5</xdr:row>
          <xdr:rowOff>121920</xdr:rowOff>
        </xdr:to>
        <xdr:sp macro="" textlink="">
          <xdr:nvSpPr>
            <xdr:cNvPr id="9218" name="Check Box 2" hidden="1">
              <a:extLst>
                <a:ext uri="{63B3BB69-23CF-44E3-9099-C40C66FF867C}">
                  <a14:compatExt spid="_x0000_s92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Month Production.xlsx and Month Sales.xlsx : Jeanie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175260</xdr:colOff>
          <xdr:row>5</xdr:row>
          <xdr:rowOff>60960</xdr:rowOff>
        </xdr:from>
        <xdr:to>
          <xdr:col>5</xdr:col>
          <xdr:colOff>129540</xdr:colOff>
          <xdr:row>7</xdr:row>
          <xdr:rowOff>7620</xdr:rowOff>
        </xdr:to>
        <xdr:sp macro="" textlink="">
          <xdr:nvSpPr>
            <xdr:cNvPr id="9219" name="Check Box 3" hidden="1">
              <a:extLst>
                <a:ext uri="{63B3BB69-23CF-44E3-9099-C40C66FF867C}">
                  <a14:compatExt spid="_x0000_s92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Level 10.xlsx : Jeanie</a:t>
              </a:r>
            </a:p>
          </xdr:txBody>
        </xdr:sp>
        <xdr:clientData/>
      </xdr:twoCellAnchor>
    </mc:Choice>
    <mc:Fallback/>
  </mc:AlternateContent>
  <xdr:oneCellAnchor>
    <xdr:from>
      <xdr:col>0</xdr:col>
      <xdr:colOff>0</xdr:colOff>
      <xdr:row>7</xdr:row>
      <xdr:rowOff>152400</xdr:rowOff>
    </xdr:from>
    <xdr:ext cx="2005421" cy="233205"/>
    <xdr:sp macro="" textlink="">
      <xdr:nvSpPr>
        <xdr:cNvPr id="2" name="TextBox 1"/>
        <xdr:cNvSpPr txBox="1"/>
      </xdr:nvSpPr>
      <xdr:spPr>
        <a:xfrm>
          <a:off x="0" y="1821180"/>
          <a:ext cx="2005421"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b="1"/>
            <a:t>Update with New Forcastings</a:t>
          </a:r>
          <a:r>
            <a:rPr lang="en-US" sz="900" b="1" baseline="0"/>
            <a:t> (EA/OP)</a:t>
          </a:r>
          <a:endParaRPr lang="en-US" sz="900" b="1"/>
        </a:p>
      </xdr:txBody>
    </xdr:sp>
    <xdr:clientData/>
  </xdr:oneCellAnchor>
  <xdr:oneCellAnchor>
    <xdr:from>
      <xdr:col>0</xdr:col>
      <xdr:colOff>0</xdr:colOff>
      <xdr:row>2</xdr:row>
      <xdr:rowOff>144780</xdr:rowOff>
    </xdr:from>
    <xdr:ext cx="1389035" cy="233205"/>
    <xdr:sp macro="" textlink="">
      <xdr:nvSpPr>
        <xdr:cNvPr id="7" name="TextBox 6"/>
        <xdr:cNvSpPr txBox="1"/>
      </xdr:nvSpPr>
      <xdr:spPr>
        <a:xfrm>
          <a:off x="0" y="899160"/>
          <a:ext cx="1389035"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b="1"/>
            <a:t>Update Every Month End</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0</xdr:col>
      <xdr:colOff>586155</xdr:colOff>
      <xdr:row>0</xdr:row>
      <xdr:rowOff>0</xdr:rowOff>
    </xdr:from>
    <xdr:to>
      <xdr:col>2</xdr:col>
      <xdr:colOff>187570</xdr:colOff>
      <xdr:row>0</xdr:row>
      <xdr:rowOff>0</xdr:rowOff>
    </xdr:to>
    <xdr:sp macro="" textlink="">
      <xdr:nvSpPr>
        <xdr:cNvPr id="3" name="Right Arrow 2"/>
        <xdr:cNvSpPr/>
      </xdr:nvSpPr>
      <xdr:spPr>
        <a:xfrm>
          <a:off x="586155" y="0"/>
          <a:ext cx="2116015" cy="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mc:AlternateContent xmlns:mc="http://schemas.openxmlformats.org/markup-compatibility/2006">
    <mc:Choice xmlns:a14="http://schemas.microsoft.com/office/drawing/2010/main" Requires="a14">
      <xdr:twoCellAnchor editAs="oneCell">
        <xdr:from>
          <xdr:col>33</xdr:col>
          <xdr:colOff>1097280</xdr:colOff>
          <xdr:row>1</xdr:row>
          <xdr:rowOff>312420</xdr:rowOff>
        </xdr:from>
        <xdr:to>
          <xdr:col>36</xdr:col>
          <xdr:colOff>1135380</xdr:colOff>
          <xdr:row>3</xdr:row>
          <xdr:rowOff>45720</xdr:rowOff>
        </xdr:to>
        <xdr:sp macro="" textlink="">
          <xdr:nvSpPr>
            <xdr:cNvPr id="1061" name="UpdateDashboardBtn" hidden="1">
              <a:extLst>
                <a:ext uri="{63B3BB69-23CF-44E3-9099-C40C66FF867C}">
                  <a14:compatExt spid="_x0000_s1061"/>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twoCellAnchor>
    <xdr:from>
      <xdr:col>33</xdr:col>
      <xdr:colOff>65313</xdr:colOff>
      <xdr:row>25</xdr:row>
      <xdr:rowOff>1</xdr:rowOff>
    </xdr:from>
    <xdr:to>
      <xdr:col>40</xdr:col>
      <xdr:colOff>566056</xdr:colOff>
      <xdr:row>39</xdr:row>
      <xdr:rowOff>152400</xdr:rowOff>
    </xdr:to>
    <xdr:grpSp>
      <xdr:nvGrpSpPr>
        <xdr:cNvPr id="5" name="Group 4"/>
        <xdr:cNvGrpSpPr/>
      </xdr:nvGrpSpPr>
      <xdr:grpSpPr>
        <a:xfrm>
          <a:off x="36012663" y="6153151"/>
          <a:ext cx="8501743" cy="3514724"/>
          <a:chOff x="24710571" y="9307286"/>
          <a:chExt cx="7652658" cy="2699657"/>
        </a:xfrm>
      </xdr:grpSpPr>
      <xdr:sp macro="" textlink="">
        <xdr:nvSpPr>
          <xdr:cNvPr id="2" name="Rectangle 1"/>
          <xdr:cNvSpPr/>
        </xdr:nvSpPr>
        <xdr:spPr>
          <a:xfrm>
            <a:off x="24710571" y="9655629"/>
            <a:ext cx="7652658" cy="2351314"/>
          </a:xfrm>
          <a:prstGeom prst="rect">
            <a:avLst/>
          </a:prstGeom>
          <a:solidFill>
            <a:srgbClr val="FFFF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r>
              <a:rPr lang="en-US" sz="1400" b="0" i="0" u="none" strike="noStrike">
                <a:solidFill>
                  <a:sysClr val="windowText" lastClr="000000"/>
                </a:solidFill>
                <a:effectLst/>
                <a:latin typeface="+mn-lt"/>
                <a:ea typeface="+mn-ea"/>
                <a:cs typeface="+mn-cs"/>
              </a:rPr>
              <a:t>1.This workbook must be updated every month when the new actuals datais availible and has overridden the previous month actual files.If a month is skipped, then you must manual fill in actual values from those months. </a:t>
            </a:r>
            <a:br>
              <a:rPr lang="en-US" sz="1400" b="0" i="0" u="none" strike="noStrike">
                <a:solidFill>
                  <a:sysClr val="windowText" lastClr="000000"/>
                </a:solidFill>
                <a:effectLst/>
                <a:latin typeface="+mn-lt"/>
                <a:ea typeface="+mn-ea"/>
                <a:cs typeface="+mn-cs"/>
              </a:rPr>
            </a:br>
            <a:r>
              <a:rPr lang="en-US" sz="1400" b="0" i="0" u="none" strike="noStrike">
                <a:solidFill>
                  <a:sysClr val="windowText" lastClr="000000"/>
                </a:solidFill>
                <a:effectLst/>
                <a:latin typeface="+mn-lt"/>
                <a:ea typeface="+mn-ea"/>
                <a:cs typeface="+mn-cs"/>
              </a:rPr>
              <a:t>2.When overwriting the previous month production, sales, and Level10 files, the month cell must be changed accordingly, if not, the code will not know which month to put the data down for. </a:t>
            </a:r>
            <a:br>
              <a:rPr lang="en-US" sz="1400" b="0" i="0" u="none" strike="noStrike">
                <a:solidFill>
                  <a:sysClr val="windowText" lastClr="000000"/>
                </a:solidFill>
                <a:effectLst/>
                <a:latin typeface="+mn-lt"/>
                <a:ea typeface="+mn-ea"/>
                <a:cs typeface="+mn-cs"/>
              </a:rPr>
            </a:br>
            <a:r>
              <a:rPr lang="en-US" sz="1400" b="0" i="0" u="none" strike="noStrike">
                <a:solidFill>
                  <a:sysClr val="windowText" lastClr="000000"/>
                </a:solidFill>
                <a:effectLst/>
                <a:latin typeface="+mn-lt"/>
                <a:ea typeface="+mn-ea"/>
                <a:cs typeface="+mn-cs"/>
              </a:rPr>
              <a:t>3.All import filepaths MUST stay the same. Do not name file with dates or years. If you need to change the file paths, Find the owner of the Macros (Nick Malmquist) and he/she will fix it. </a:t>
            </a:r>
            <a:br>
              <a:rPr lang="en-US" sz="1400" b="0" i="0" u="none" strike="noStrike">
                <a:solidFill>
                  <a:sysClr val="windowText" lastClr="000000"/>
                </a:solidFill>
                <a:effectLst/>
                <a:latin typeface="+mn-lt"/>
                <a:ea typeface="+mn-ea"/>
                <a:cs typeface="+mn-cs"/>
              </a:rPr>
            </a:br>
            <a:r>
              <a:rPr lang="en-US" sz="1400" b="0" i="0" u="none" strike="noStrike">
                <a:solidFill>
                  <a:sysClr val="windowText" lastClr="000000"/>
                </a:solidFill>
                <a:effectLst/>
                <a:latin typeface="+mn-lt"/>
                <a:ea typeface="+mn-ea"/>
                <a:cs typeface="+mn-cs"/>
              </a:rPr>
              <a:t>4. BEFORE OVERWRITING IMPORT FILES, Check and Make sure that the format is the same. This is what will make the macro buttons work.</a:t>
            </a:r>
            <a:br>
              <a:rPr lang="en-US" sz="1400" b="0" i="0" u="none" strike="noStrike">
                <a:solidFill>
                  <a:sysClr val="windowText" lastClr="000000"/>
                </a:solidFill>
                <a:effectLst/>
                <a:latin typeface="+mn-lt"/>
                <a:ea typeface="+mn-ea"/>
                <a:cs typeface="+mn-cs"/>
              </a:rPr>
            </a:br>
            <a:r>
              <a:rPr lang="en-US" sz="1400" b="0" i="0" u="none" strike="noStrike">
                <a:solidFill>
                  <a:sysClr val="windowText" lastClr="000000"/>
                </a:solidFill>
                <a:effectLst/>
                <a:latin typeface="+mn-lt"/>
                <a:ea typeface="+mn-ea"/>
                <a:cs typeface="+mn-cs"/>
              </a:rPr>
              <a:t>5. Only delete actuals at the end of the year. If you delete actuals mid year,</a:t>
            </a:r>
            <a:r>
              <a:rPr lang="en-US" sz="1400" b="0" i="0" u="none" strike="noStrike" baseline="0">
                <a:solidFill>
                  <a:sysClr val="windowText" lastClr="000000"/>
                </a:solidFill>
                <a:effectLst/>
                <a:latin typeface="+mn-lt"/>
                <a:ea typeface="+mn-ea"/>
                <a:cs typeface="+mn-cs"/>
              </a:rPr>
              <a:t> You must change the box to the month of actuals you need to get back and run the button. They shouls appear</a:t>
            </a:r>
            <a:r>
              <a:rPr lang="en-US" sz="1400" b="0" i="0" u="none" strike="noStrike">
                <a:solidFill>
                  <a:sysClr val="windowText" lastClr="000000"/>
                </a:solidFill>
                <a:effectLst/>
                <a:latin typeface="+mn-lt"/>
                <a:ea typeface="+mn-ea"/>
                <a:cs typeface="+mn-cs"/>
              </a:rPr>
              <a:t/>
            </a:r>
            <a:br>
              <a:rPr lang="en-US" sz="1400" b="0" i="0" u="none" strike="noStrike">
                <a:solidFill>
                  <a:sysClr val="windowText" lastClr="000000"/>
                </a:solidFill>
                <a:effectLst/>
                <a:latin typeface="+mn-lt"/>
                <a:ea typeface="+mn-ea"/>
                <a:cs typeface="+mn-cs"/>
              </a:rPr>
            </a:br>
            <a:r>
              <a:rPr lang="en-US" sz="1400" b="0" i="0" u="none" strike="noStrike">
                <a:solidFill>
                  <a:sysClr val="windowText" lastClr="000000"/>
                </a:solidFill>
                <a:effectLst/>
                <a:latin typeface="+mn-lt"/>
                <a:ea typeface="+mn-ea"/>
                <a:cs typeface="+mn-cs"/>
              </a:rPr>
              <a:t>6. If any questions, find owner before trying to change the code yourself. </a:t>
            </a:r>
            <a:r>
              <a:rPr lang="en-US" sz="1400">
                <a:solidFill>
                  <a:sysClr val="windowText" lastClr="000000"/>
                </a:solidFill>
              </a:rPr>
              <a:t> </a:t>
            </a:r>
          </a:p>
          <a:p>
            <a:pPr algn="l"/>
            <a:r>
              <a:rPr lang="en-US" sz="1400" b="1">
                <a:solidFill>
                  <a:sysClr val="windowText" lastClr="000000"/>
                </a:solidFill>
              </a:rPr>
              <a:t>7. Ying: You must Update the Approved EBIT Target.xlsx</a:t>
            </a:r>
          </a:p>
        </xdr:txBody>
      </xdr:sp>
      <xdr:sp macro="" textlink="">
        <xdr:nvSpPr>
          <xdr:cNvPr id="4" name="Rectangle 3"/>
          <xdr:cNvSpPr/>
        </xdr:nvSpPr>
        <xdr:spPr>
          <a:xfrm>
            <a:off x="24721457" y="9307286"/>
            <a:ext cx="2177143" cy="326571"/>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solidFill>
                  <a:sysClr val="windowText" lastClr="000000"/>
                </a:solidFill>
              </a:rPr>
              <a:t>Notes:</a:t>
            </a:r>
            <a:endParaRPr lang="en-US" sz="1100" b="1">
              <a:solidFill>
                <a:sysClr val="windowText" lastClr="000000"/>
              </a:solidFill>
            </a:endParaRPr>
          </a:p>
        </xdr:txBody>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693420</xdr:colOff>
          <xdr:row>27</xdr:row>
          <xdr:rowOff>160020</xdr:rowOff>
        </xdr:from>
        <xdr:to>
          <xdr:col>7</xdr:col>
          <xdr:colOff>1203960</xdr:colOff>
          <xdr:row>31</xdr:row>
          <xdr:rowOff>121920</xdr:rowOff>
        </xdr:to>
        <xdr:sp macro="" textlink="">
          <xdr:nvSpPr>
            <xdr:cNvPr id="5121" name="UpdateAnalysisBtn" hidden="1">
              <a:extLst>
                <a:ext uri="{63B3BB69-23CF-44E3-9099-C40C66FF867C}">
                  <a14:compatExt spid="_x0000_s5121"/>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99%20Forecast.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138103f.mbusi.daimlerchrysler.com\n138_g00207\S4842\XL123\DIRECTOR\FY2005%20Director%20Expense.xls"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op%20Down%20Plan%20-%20Version%20III.xls"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Ausland%20III_01.xls"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PathMissing" Target="COST%20CENTER%20ACCOUNTING"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DOCUME~1\unestle\LOCALS~1\Temp\notes9D76E5\$%23DC1AE55E.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team.nafta.sp.wp.corpintra.net/05.%20Cost/Business%20Case%20Calculation/NAFTA%20HUB__MASTER_realistic_BoM.xlsm" TargetMode="External"/></Relationships>
</file>

<file path=xl/externalLinks/_rels/externalLink8.xml.rels><?xml version="1.0" encoding="UTF-8" standalone="yes"?>
<Relationships xmlns="http://schemas.openxmlformats.org/package/2006/relationships"><Relationship Id="rId1" Type="http://schemas.microsoft.com/office/2006/relationships/xlExternalLinkPath/xlPathMissing" Target="Phase%202%20-%20Feas" TargetMode="External"/></Relationships>
</file>

<file path=xl/externalLinks/_rels/externalLink9.xml.rels><?xml version="1.0" encoding="UTF-8" standalone="yes"?>
<Relationships xmlns="http://schemas.openxmlformats.org/package/2006/relationships"><Relationship Id="rId1" Type="http://schemas.microsoft.com/office/2006/relationships/xlExternalLinkPath/xlPathMissing" Target="Template_MCG_BusinessPlan.xls" TargetMode="External"/></Relationships>
</file>

<file path=xl/externalLinks/_rels/externalLink10.xml.rels><?xml version="1.0" encoding="UTF-8" standalone="yes"?>
<Relationships xmlns="http://schemas.openxmlformats.org/package/2006/relationships"><Relationship Id="rId1" Type="http://schemas.microsoft.com/office/2006/relationships/xlExternalLinkPath/xlPathMissing" Target="RFDC%20-%20change.xls" TargetMode="External"/></Relationships>
</file>

<file path=xl/externalLinks/_rels/externalLink11.xml.rels><?xml version="1.0" encoding="UTF-8" standalone="yes"?>
<Relationships xmlns="http://schemas.openxmlformats.org/package/2006/relationships"><Relationship Id="rId1" Type="http://schemas.microsoft.com/office/2006/relationships/xlExternalLinkPath/xlPathMissing" Target="op5ib06.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https://int.nafta.sp.wp.corpintra.net/CorpCont/2017/20_Planning%20(Mobe,%20FTR,%20F4L,%20OP,%20Shifts)/10_Mobe_XX/Mobe_03%20(EA1)/40_Other%20Reporting%20(L10)/EGK%20and%20Tooling.xlsm" TargetMode="External"/></Relationships>
</file>

<file path=xl/externalLinks/_rels/externalLink13.xml.rels><?xml version="1.0" encoding="UTF-8" standalone="yes"?>
<Relationships xmlns="http://schemas.openxmlformats.org/package/2006/relationships"><Relationship Id="rId1" Type="http://schemas.microsoft.com/office/2006/relationships/xlExternalLinkPath/xlPathMissing" Target="Template%20businessplan-WS-Iran%2003-01-29%20%20(ohne%20SKD)Draft.xls" TargetMode="External"/></Relationships>
</file>

<file path=xl/externalLinks/_rels/externalLink14.xml.rels><?xml version="1.0" encoding="UTF-8" standalone="yes"?>
<Relationships xmlns="http://schemas.openxmlformats.org/package/2006/relationships"><Relationship Id="rId1" Type="http://schemas.microsoft.com/office/2006/relationships/xlExternalLinkPath/xlPathMissing" Target="2009_04_23-16_22-CostCenterReport_Company.xls" TargetMode="External"/></Relationships>
</file>

<file path=xl/externalLinks/_rels/externalLink15.xml.rels><?xml version="1.0" encoding="UTF-8" standalone="yes"?>
<Relationships xmlns="http://schemas.openxmlformats.org/package/2006/relationships"><Relationship Id="rId1" Type="http://schemas.microsoft.com/office/2006/relationships/xlExternalLinkPath/xlPathMissing" Target="CG_BPL_JV_view_V4.0.xls" TargetMode="External"/></Relationships>
</file>

<file path=xl/externalLinks/_rels/externalLink16.xml.rels><?xml version="1.0" encoding="UTF-8" standalone="yes"?>
<Relationships xmlns="http://schemas.openxmlformats.org/package/2006/relationships"><Relationship Id="rId1" Type="http://schemas.microsoft.com/office/2006/relationships/xlExternalLinkPath/xlPathMissing" Target="20111222%20Planungskalender_OP2012-2013_V5.xls" TargetMode="External"/></Relationships>
</file>

<file path=xl/externalLinks/_rels/externalLink17.xml.rels><?xml version="1.0" encoding="UTF-8" standalone="yes"?>
<Relationships xmlns="http://schemas.openxmlformats.org/package/2006/relationships"><Relationship Id="rId1" Type="http://schemas.microsoft.com/office/2006/relationships/xlExternalLinkPath/xlPathMissing" Target="Businessplan%20Iran%20Production%202003-01-10b%20part" TargetMode="External"/></Relationships>
</file>

<file path=xl/externalLinks/_rels/externalLink18.xml.rels><?xml version="1.0" encoding="UTF-8" standalone="yes"?>
<Relationships xmlns="http://schemas.openxmlformats.org/package/2006/relationships"><Relationship Id="rId1" Type="http://schemas.microsoft.com/office/2006/relationships/xlExternalLinkPath/xlPathMissing" Target="Employment%20Costs%202000.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G:\Program%20and%20Series\Vehicle%20Program%20Planning\10%20Programs\01%20Production%20Programs\Program%20monthly%20end\MOABs\2019\Official%20MOABs\2019-03-01_MOAB%200319A%20check.xlsx"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s138103f.mbusi.daimlerchrysler.com\n138_g00207\TEMP\New%20Plan%20FAS87%201999%20-%20Revised%20Assumptions.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s138103f.mbusi.daimlerchrysler.com\n138_g00207\TEMP\New%20Plan%20FAS87%201-1-2001%20Reflect%20Pay%20Cap%20on%20ER%20Match.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E:\RWC\CPR\VKAL\R230\2PK\Fktgrp\R0FU21.2PK_EUR"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C:\Product%20Controlling\164-251\Calculation\2007\FC_PC\05_2007\Series%20Calc%2005_2007\Ko%20Trae%20Stue%20Re\W164Kostentraegerstueckrechnung_07_05_USD_EUR.xls" TargetMode="External"/></Relationships>
</file>

<file path=xl/externalLinks/_rels/externalLink24.xml.rels><?xml version="1.0" encoding="UTF-8" standalone="yes"?>
<Relationships xmlns="http://schemas.openxmlformats.org/package/2006/relationships"><Relationship Id="rId1" Type="http://schemas.microsoft.com/office/2006/relationships/xlExternalLinkPath/xlPathMissing" Target="Master_300C_1110_Updated.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file:///C:\DOCUME~1\pmooney\LOCALS~1\Temp\notes9D76E5\FMG%20Planning%20File%20EsR%20OP12-13.xls"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G:\Program%20and%20Series\Vehicle%20Program%20Planning\10%20Programs\01%20Production%20Programs\Program%20monthly%20end\MOABs\2017\2018-01-01_2017%20Dec%20MOAB%20118A.xlsx" TargetMode="External"/></Relationships>
</file>

<file path=xl/externalLinks/_rels/externalLink27.xml.rels><?xml version="1.0" encoding="UTF-8" standalone="yes"?>
<Relationships xmlns="http://schemas.openxmlformats.org/package/2006/relationships"><Relationship Id="rId1" Type="http://schemas.microsoft.com/office/2006/relationships/xlExternalLinkPath/xlPathMissing" Target="Reclassification%20of%20Mktg%20costs_OP06-08_Non%20Project_V1.xls" TargetMode="External"/></Relationships>
</file>

<file path=xl/externalLinks/_rels/externalLink28.xml.rels><?xml version="1.0" encoding="UTF-8" standalone="yes"?>
<Relationships xmlns="http://schemas.openxmlformats.org/package/2006/relationships"><Relationship Id="rId1" Type="http://schemas.microsoft.com/office/2006/relationships/xlExternalLinkPath/xlPathMissing" Target="OP_Budget%20Invest_143_20010828_HKD.xls"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file:///C:\97_3P%20System\3P%20Systemdaten\Eigene%20Module\Berichte%20Kalkulation\Berichte%20Journalisierung\Beschlussjournal.xls" TargetMode="External"/></Relationships>
</file>

<file path=xl/externalLinks/_rels/externalLink30.xml.rels><?xml version="1.0" encoding="UTF-8" standalone="yes"?>
<Relationships xmlns="http://schemas.openxmlformats.org/package/2006/relationships"><Relationship Id="rId1" Type="http://schemas.microsoft.com/office/2006/relationships/xlExternalLinkPath/xlPathMissing" Target="LEVEL_1__S1___20150722_PLC2020_V131_PDC+SPM.xlsx" TargetMode="External"/></Relationships>
</file>

<file path=xl/externalLinks/_rels/externalLink31.xml.rels><?xml version="1.0" encoding="UTF-8" standalone="yes"?>
<Relationships xmlns="http://schemas.openxmlformats.org/package/2006/relationships"><Relationship Id="rId1" Type="http://schemas.microsoft.com/office/2006/relationships/xlExternalLinkPath/xlPathMissing" Target="WFM_final01.xls" TargetMode="External"/></Relationships>
</file>

<file path=xl/externalLinks/_rels/externalLink32.xml.rels><?xml version="1.0" encoding="UTF-8" standalone="yes"?>
<Relationships xmlns="http://schemas.openxmlformats.org/package/2006/relationships"><Relationship Id="rId1" Type="http://schemas.microsoft.com/office/2006/relationships/xlExternalLinkPath/xlPathMissing" Target="Template%20businessplan-WS-Iran%20%20%20%20%20%20%20%20%20%20%20%20%20%20%20%20%20%20%20%2003-01-10b%20Draft.xl" TargetMode="External"/></Relationships>
</file>

<file path=xl/externalLinks/_rels/externalLink33.xml.rels><?xml version="1.0" encoding="UTF-8" standalone="yes"?>
<Relationships xmlns="http://schemas.openxmlformats.org/package/2006/relationships"><Relationship Id="rId1" Type="http://schemas.microsoft.com/office/2006/relationships/xlExternalLinkPath/xlPathMissing" Target="LdG.xls" TargetMode="External"/></Relationships>
</file>

<file path=xl/externalLinks/_rels/externalLink34.xml.rels><?xml version="1.0" encoding="UTF-8" standalone="yes"?>
<Relationships xmlns="http://schemas.openxmlformats.org/package/2006/relationships"><Relationship Id="rId1" Type="http://schemas.microsoft.com/office/2006/relationships/xlExternalLinkPath/xlPathMissing" Target="tbl_Auslastung_090505.xls" TargetMode="External"/></Relationships>
</file>

<file path=xl/externalLinks/_rels/externalLink35.xml.rels><?xml version="1.0" encoding="UTF-8" standalone="yes"?>
<Relationships xmlns="http://schemas.openxmlformats.org/package/2006/relationships"><Relationship Id="rId1" Type="http://schemas.microsoft.com/office/2006/relationships/xlExternalLinkPath/xlPathMissing" Target="20100406%20Planungskalender_V10_tg_V2.xls" TargetMode="External"/></Relationships>
</file>

<file path=xl/externalLinks/_rels/externalLink36.xml.rels><?xml version="1.0" encoding="UTF-8" standalone="yes"?>
<Relationships xmlns="http://schemas.openxmlformats.org/package/2006/relationships"><Relationship Id="rId1" Type="http://schemas.microsoft.com/office/2006/relationships/xlExternalLinkPath/xlPathMissing" Target="PL_MR0605_CY2005_FINAL.xls" TargetMode="External"/></Relationships>
</file>

<file path=xl/externalLinks/_rels/externalLink37.xml.rels><?xml version="1.0" encoding="UTF-8" standalone="yes"?>
<Relationships xmlns="http://schemas.openxmlformats.org/package/2006/relationships"><Relationship Id="rId1" Type="http://schemas.microsoft.com/office/2006/relationships/xlExternalLinkPath/xlPathMissing" Target="China%20Strategy%202B_2004_08_19_Final.xls" TargetMode="External"/></Relationships>
</file>

<file path=xl/externalLinks/_rels/externalLink38.xml.rels><?xml version="1.0" encoding="UTF-8" standalone="yes"?>
<Relationships xmlns="http://schemas.openxmlformats.org/package/2006/relationships"><Relationship Id="rId1" Type="http://schemas.microsoft.com/office/2006/relationships/xlExternalLinkPath/xlPathMissing" Target="Anlage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c 98"/>
      <sheetName val="Jan 99"/>
      <sheetName val="Chip 1 (2)"/>
      <sheetName val="Feb 99"/>
      <sheetName val="Mar 99"/>
      <sheetName val="Apr 99"/>
      <sheetName val="May 99"/>
      <sheetName val="June 99"/>
      <sheetName val="July 99"/>
      <sheetName val="Aug 99"/>
      <sheetName val="Sept 99"/>
      <sheetName val="Oct 99"/>
      <sheetName val="Nov 99"/>
      <sheetName val="Dec 99"/>
      <sheetName val="B-Schedule"/>
      <sheetName val="Consolidated"/>
      <sheetName val="Timed Plan"/>
      <sheetName val="Cento-Brazil"/>
      <sheetName val="Distributors"/>
      <sheetName val="International"/>
      <sheetName val="Units"/>
      <sheetName val="Chip 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tal"/>
      <sheetName val="Skinner Death"/>
      <sheetName val="Expense"/>
      <sheetName val="AML"/>
      <sheetName val="Benefit Payments"/>
    </sheetNames>
    <sheetDataSet>
      <sheetData sheetId="0"/>
      <sheetData sheetId="1"/>
      <sheetData sheetId="2"/>
      <sheetData sheetId="3" refreshError="1"/>
      <sheetData sheetId="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999e"/>
      <sheetName val="Summary"/>
      <sheetName val="Warranty"/>
      <sheetName val="vs. 1999e"/>
      <sheetName val="Traditional 2000"/>
      <sheetName val="Cons. 2000"/>
      <sheetName val="Cover"/>
      <sheetName val="Assumptions"/>
      <sheetName val="Units"/>
      <sheetName val="Sales"/>
      <sheetName val="Comparative IS"/>
      <sheetName val="Sub Performance"/>
      <sheetName val="Consolidating"/>
      <sheetName val="Metrics"/>
      <sheetName val="PL Metrics"/>
      <sheetName val="Series 50-60"/>
      <sheetName val="2 Cycle"/>
      <sheetName val="Series 2000"/>
      <sheetName val="Series 4000"/>
      <sheetName val="Series 30-40"/>
      <sheetName val="Administration"/>
      <sheetName val="Selling"/>
      <sheetName val="Engineering Summary"/>
      <sheetName val="Units By Market"/>
      <sheetName val="Traditional 99e"/>
      <sheetName val="Standard Costs"/>
      <sheetName val="Changes"/>
      <sheetName val="Process"/>
      <sheetName val="Next Steps"/>
      <sheetName val="PowerEvolution"/>
      <sheetName val="Prod Line Title"/>
      <sheetName val="50-60 Highlights"/>
      <sheetName val="2 Cyl Reman Highlights"/>
      <sheetName val="2-4000 Highlights"/>
      <sheetName val="Cento Highlights"/>
      <sheetName val="PL Income"/>
      <sheetName val="Sensitivity"/>
      <sheetName val="Back-up"/>
      <sheetName val="Pricing"/>
      <sheetName val="Incentives"/>
      <sheetName val="Cons. Employment"/>
      <sheetName val="Manufacturing"/>
      <sheetName val="Engineering II"/>
      <sheetName val="Expenses"/>
      <sheetName val="Marketing"/>
      <sheetName val="Warehouse"/>
      <sheetName val="CAPEX"/>
      <sheetName val="Deep Backup"/>
      <sheetName val="Series 50-60 (2)"/>
      <sheetName val="2 Cycle (2)"/>
      <sheetName val="Series 2000 (2)"/>
      <sheetName val="Series 4000 (2)"/>
      <sheetName val="Series 30-40 (2)"/>
      <sheetName val="Deducts"/>
      <sheetName val="EBIT"/>
      <sheetName val="Employment"/>
      <sheetName val="Subsidiary Performance"/>
      <sheetName val="STOP!"/>
      <sheetName val="Traditional"/>
      <sheetName val="Opportunities"/>
      <sheetName val="1999 Income"/>
      <sheetName val="Traditional 98e"/>
      <sheetName val="1998e"/>
      <sheetName val="PL Submission Sales Summary"/>
      <sheetName val="Reman"/>
      <sheetName val="Cento"/>
      <sheetName val="Distr"/>
      <sheetName val="Sales Allowances PL Submission"/>
      <sheetName val="PL Submission 98 vs. 99"/>
      <sheetName val="S50-60 Warranty"/>
      <sheetName val="S2000 Warranty"/>
      <sheetName val="S4000 Warranty"/>
      <sheetName val="2 Cycle Warranty"/>
      <sheetName val="Sundry Sales"/>
      <sheetName val="Engineering"/>
      <sheetName val="Engineering % of Sales"/>
      <sheetName val="Adjusted BP"/>
      <sheetName val="PL Submission (Units)"/>
      <sheetName val="Selling-Service"/>
      <sheetName val="Manufacturing (2)"/>
      <sheetName val="Sensitivity G. Paja"/>
      <sheetName val="Consolidated"/>
      <sheetName val="Down Turn"/>
      <sheetName val="Sales Allowances OLD"/>
      <sheetName val="Mfg. Cribs"/>
      <sheetName val="Sub Performance (2)"/>
      <sheetName val="Page Num"/>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nnzahlen"/>
      <sheetName val="Erg_rechnung"/>
    </sheetNames>
    <sheetDataSet>
      <sheetData sheetId="0" refreshError="1"/>
      <sheetData sheetId="1"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ST CENTER ACCOUNTING"/>
      <sheetName val="Sheet1"/>
      <sheetName val="Summary MBPC AS KRW"/>
      <sheetName val="Sendebahn"/>
    </sheetNames>
    <sheetDataSet>
      <sheetData sheetId="0" refreshError="1"/>
      <sheetData sheetId="1" refreshError="1"/>
      <sheetData sheetId="2" refreshError="1"/>
      <sheetData sheetId="3"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USUM W 164"/>
      <sheetName val="FUSUM X 164"/>
      <sheetName val="FUSUM V 251"/>
      <sheetName val="FUSUM W 251"/>
      <sheetName val="vks_BEMI"/>
      <sheetName val="Investment overview"/>
      <sheetName val="TE overview"/>
      <sheetName val="Logistics_Zoll"/>
      <sheetName val="ME-BWP"/>
      <sheetName val="Shop_W164"/>
      <sheetName val="Shop_X164"/>
      <sheetName val="Shop_V251"/>
      <sheetName val="Rates for Each Car line"/>
      <sheetName val="Premises"/>
      <sheetName val="Tooling"/>
      <sheetName val="ME_Übersicht"/>
      <sheetName val="Kennzahlen BR164-25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refreshError="1"/>
      <sheetData sheetId="15" refreshError="1"/>
      <sheetData sheetId="16"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Dos"/>
      <sheetName val="config"/>
      <sheetName val="Level 1--&gt;"/>
      <sheetName val="S1"/>
      <sheetName val="S2"/>
      <sheetName val="S3"/>
      <sheetName val="Turnover"/>
      <sheetName val="PG1 - PM"/>
      <sheetName val="PG2 - Inventory"/>
      <sheetName val="PG3 - Real Estate"/>
      <sheetName val="PG4 - Space 8%"/>
      <sheetName val="PG4 - Space-Grafik"/>
      <sheetName val="PG4 - Space Demand"/>
      <sheetName val="PG4 - Equipment"/>
      <sheetName val="PG5 - Operation"/>
      <sheetName val="Detail Operation"/>
      <sheetName val="Details Operation"/>
      <sheetName val="PG6 - IT Infrastructure"/>
      <sheetName val="PG7 - IT Application"/>
      <sheetName val="Lease payments"/>
      <sheetName val="Proj Cost Sumry_S1"/>
      <sheetName val="Proj Cost Sumry_S3"/>
      <sheetName val="Construction Costs"/>
      <sheetName val="Synergies"/>
      <sheetName val="Incentives"/>
      <sheetName val="Property tax calc"/>
      <sheetName val="Change documentation"/>
      <sheetName val="Level 2--&gt;"/>
      <sheetName val="Incentive calculation"/>
      <sheetName val="S1_LC"/>
      <sheetName val="S2_LC"/>
      <sheetName val="S2_EUR"/>
      <sheetName val="S1_EUR"/>
      <sheetName val="S3_LC"/>
      <sheetName val="S3_EUR"/>
      <sheetName val="FR Details"/>
      <sheetName val="DCVA-VALID--&gt;"/>
      <sheetName val="NPV_S1_LC"/>
      <sheetName val="NPV_S1_EUR"/>
      <sheetName val="NPV_S2_LC"/>
      <sheetName val="NPV_S2_EUR"/>
      <sheetName val="NPV_S3_LC"/>
      <sheetName val="NPV_S3_EUR"/>
      <sheetName val="NPV_Vergleich1"/>
      <sheetName val="NPV_Vergleich2"/>
      <sheetName val="XXXXXXXXXX"/>
      <sheetName val="FR--&gt;"/>
      <sheetName val="FR Scenario_LC"/>
      <sheetName val="FR Scenario_EUR"/>
      <sheetName val="FR_LC split"/>
      <sheetName val="FR_EUR split"/>
      <sheetName val="FR_S1_LC"/>
      <sheetName val="FR_S1_EUR"/>
      <sheetName val="FR_S2_LC"/>
      <sheetName val="FR_S2_EUR"/>
      <sheetName val="FR_S3_LC"/>
      <sheetName val="FR_S3_EUR"/>
      <sheetName val="FR_Vergleich"/>
      <sheetName val="RC--&gt;"/>
      <sheetName val="RC_LC"/>
      <sheetName val="RC_EUR"/>
      <sheetName val="Sonstiges--&gt;"/>
      <sheetName val="Cost_Runup_S1_LC"/>
      <sheetName val="Cost_Runup_S2_LC"/>
      <sheetName val="Cost_Runup_S3_LC"/>
      <sheetName val="Cost_Runup_S1_EUR"/>
      <sheetName val="Cost_Runup_S2_EUR"/>
      <sheetName val="Cost_Runup_S3_EUR"/>
      <sheetName val="Cost_Runup_Comp_EUR"/>
      <sheetName val="blueprint_interne_logik"/>
      <sheetName val="blueprint_BOM_VALID"/>
      <sheetName val="Check_Zeilensynchronität_S1-S3"/>
      <sheetName val="NPV_gesamt"/>
      <sheetName val="NPV_WC"/>
      <sheetName val="NPV_Invest"/>
      <sheetName val="NPV_Run"/>
      <sheetName val="NPV_OTC"/>
      <sheetName val="NPV_Taxes"/>
      <sheetName val="NPV_Depreciation"/>
    </sheetNames>
    <sheetDataSet>
      <sheetData sheetId="0"/>
      <sheetData sheetId="1">
        <row r="1">
          <cell r="G1">
            <v>2015</v>
          </cell>
        </row>
      </sheetData>
      <sheetData sheetId="2"/>
      <sheetData sheetId="3"/>
      <sheetData sheetId="4"/>
      <sheetData sheetId="5"/>
      <sheetData sheetId="6"/>
      <sheetData sheetId="7"/>
      <sheetData sheetId="8">
        <row r="20">
          <cell r="E20">
            <v>9402.9934074283301</v>
          </cell>
        </row>
      </sheetData>
      <sheetData sheetId="9"/>
      <sheetData sheetId="10"/>
      <sheetData sheetId="11"/>
      <sheetData sheetId="12"/>
      <sheetData sheetId="13">
        <row r="87">
          <cell r="L87">
            <v>0</v>
          </cell>
        </row>
      </sheetData>
      <sheetData sheetId="14">
        <row r="128">
          <cell r="I128">
            <v>93188.278333333335</v>
          </cell>
        </row>
      </sheetData>
      <sheetData sheetId="15"/>
      <sheetData sheetId="16"/>
      <sheetData sheetId="17">
        <row r="46">
          <cell r="J46">
            <v>4307570.34</v>
          </cell>
        </row>
      </sheetData>
      <sheetData sheetId="18"/>
      <sheetData sheetId="19">
        <row r="8">
          <cell r="C8">
            <v>4655269.2</v>
          </cell>
        </row>
      </sheetData>
      <sheetData sheetId="20"/>
      <sheetData sheetId="21">
        <row r="35">
          <cell r="F35">
            <v>132699352.12999997</v>
          </cell>
        </row>
      </sheetData>
      <sheetData sheetId="22">
        <row r="14">
          <cell r="D14">
            <v>1386000</v>
          </cell>
        </row>
      </sheetData>
      <sheetData sheetId="23"/>
      <sheetData sheetId="24">
        <row r="4">
          <cell r="I4">
            <v>3125000</v>
          </cell>
        </row>
      </sheetData>
      <sheetData sheetId="25"/>
      <sheetData sheetId="26"/>
      <sheetData sheetId="27"/>
      <sheetData sheetId="28"/>
      <sheetData sheetId="29">
        <row r="69">
          <cell r="B69">
            <v>999</v>
          </cell>
        </row>
      </sheetData>
      <sheetData sheetId="30">
        <row r="55">
          <cell r="B55">
            <v>40</v>
          </cell>
        </row>
      </sheetData>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_Macro_oec"/>
      <sheetName val="2_Volumes (Sales &amp; production)"/>
      <sheetName val="3_Pricing"/>
      <sheetName val="4_Workforce"/>
      <sheetName val="5_Wages &amp; Salaries"/>
      <sheetName val="6_CKD  E200K"/>
      <sheetName val="7_Gross Margin (E 200K CKD) "/>
      <sheetName val="6_CKD  E320"/>
      <sheetName val="7_Gross Margin (E 320 CKD)"/>
      <sheetName val="6_CKD  E300"/>
      <sheetName val="7_Gross Margin (E 300 CKD)"/>
      <sheetName val="6_SKD  E200K"/>
      <sheetName val="7_Gross Margin (E 200K SKD)"/>
      <sheetName val="6_SKD  E320"/>
      <sheetName val="7_Gross Margin (E 320 SKD)"/>
      <sheetName val="6_SKD  S350L"/>
      <sheetName val="7_Gross Margin (S 350L SKD)"/>
      <sheetName val="8_Invest Production"/>
      <sheetName val="9_Fix Cost Prod. (Overh)"/>
      <sheetName val="summary piece costs"/>
      <sheetName val="NPV"/>
      <sheetName val="10_Work_cap"/>
      <sheetName val="11_depreciation"/>
      <sheetName val="12 Liquidity"/>
      <sheetName val="13_financ_res"/>
      <sheetName val="14_P&amp;L"/>
      <sheetName val="15_Taxation"/>
      <sheetName val="16 Funding"/>
      <sheetName val="17 Balance sheet"/>
      <sheetName val="18 Cash_flow"/>
      <sheetName val="19 NPV"/>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row r="71">
          <cell r="B71" t="str">
            <v>Invest fixed and intangible assets in Mio IRR</v>
          </cell>
          <cell r="D71">
            <v>264263209875</v>
          </cell>
          <cell r="E71">
            <v>87369261625</v>
          </cell>
          <cell r="F71">
            <v>160487424000</v>
          </cell>
          <cell r="G71">
            <v>16406524250</v>
          </cell>
          <cell r="H71">
            <v>0</v>
          </cell>
          <cell r="I71">
            <v>0</v>
          </cell>
          <cell r="J71">
            <v>0</v>
          </cell>
          <cell r="K71">
            <v>0</v>
          </cell>
          <cell r="L71">
            <v>0</v>
          </cell>
          <cell r="M71">
            <v>0</v>
          </cell>
          <cell r="N71">
            <v>0</v>
          </cell>
          <cell r="O71">
            <v>0</v>
          </cell>
        </row>
      </sheetData>
      <sheetData sheetId="18" refreshError="1"/>
      <sheetData sheetId="19" refreshError="1"/>
      <sheetData sheetId="20" refreshError="1"/>
      <sheetData sheetId="21" refreshError="1">
        <row r="108">
          <cell r="B108" t="str">
            <v xml:space="preserve">                Receivables (changes to pr. y.)</v>
          </cell>
          <cell r="E108">
            <v>0</v>
          </cell>
          <cell r="F108">
            <v>4346687635.0684938</v>
          </cell>
          <cell r="G108">
            <v>61143406066.630112</v>
          </cell>
          <cell r="H108">
            <v>8513712181.2208252</v>
          </cell>
          <cell r="I108">
            <v>22164139861.934357</v>
          </cell>
          <cell r="J108">
            <v>-1672486012.9539795</v>
          </cell>
          <cell r="K108">
            <v>-3732570659.4100494</v>
          </cell>
        </row>
        <row r="130">
          <cell r="B130" t="str">
            <v>Change supplier credits vs previous year</v>
          </cell>
          <cell r="E130">
            <v>0</v>
          </cell>
          <cell r="F130">
            <v>5566459139.7448254</v>
          </cell>
          <cell r="G130">
            <v>77737422944.463562</v>
          </cell>
          <cell r="H130">
            <v>10255344684.111023</v>
          </cell>
          <cell r="I130">
            <v>27268210412.493927</v>
          </cell>
          <cell r="J130">
            <v>-2826149153.6244965</v>
          </cell>
          <cell r="K130">
            <v>-5354989269.213623</v>
          </cell>
        </row>
        <row r="133">
          <cell r="B133" t="str">
            <v>Additional need of cash (change to prev. year)</v>
          </cell>
          <cell r="E133">
            <v>448862047.79452056</v>
          </cell>
          <cell r="F133">
            <v>2510895535.9131818</v>
          </cell>
          <cell r="G133">
            <v>25241246456.871975</v>
          </cell>
          <cell r="H133">
            <v>3826051094.7188835</v>
          </cell>
          <cell r="I133">
            <v>9692012805.9300156</v>
          </cell>
          <cell r="J133">
            <v>234352513.79320526</v>
          </cell>
          <cell r="K133">
            <v>-508845137.0447464</v>
          </cell>
        </row>
      </sheetData>
      <sheetData sheetId="22" refreshError="1">
        <row r="7">
          <cell r="B7" t="str">
            <v>Total financial depreciation production</v>
          </cell>
          <cell r="E7">
            <v>0</v>
          </cell>
          <cell r="F7">
            <v>21148007633.92857</v>
          </cell>
          <cell r="G7">
            <v>22047562558.92857</v>
          </cell>
          <cell r="H7">
            <v>21313182208.92857</v>
          </cell>
          <cell r="I7">
            <v>20652239893.92857</v>
          </cell>
          <cell r="J7">
            <v>20057391810.42857</v>
          </cell>
          <cell r="K7">
            <v>19522028535.278576</v>
          </cell>
          <cell r="L7">
            <v>19040201587.64357</v>
          </cell>
          <cell r="M7">
            <v>12660093763.3435</v>
          </cell>
          <cell r="N7">
            <v>12269813935.75915</v>
          </cell>
          <cell r="O7">
            <v>11108191428.433235</v>
          </cell>
        </row>
      </sheetData>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DC)"/>
      <sheetName val="1. Cash Flow"/>
      <sheetName val="2. Profit and Loss"/>
      <sheetName val="3. Net Assets_WC (DC)"/>
      <sheetName val="4. Working Capital"/>
      <sheetName val="4a. WoC data"/>
      <sheetName val="4b. Delivery"/>
      <sheetName val="5. Taxes to Government"/>
      <sheetName val="6. Total Revenue"/>
      <sheetName val="7. Total Variable Costs"/>
      <sheetName val="8. Financing Req"/>
      <sheetName val="9. Royalty"/>
      <sheetName val="Input 0_Macro_eco"/>
      <sheetName val="Input 1_Volume"/>
      <sheetName val="Input 2_Pricing"/>
      <sheetName val="Input 3_Workforce Production"/>
      <sheetName val="Input 4_Wages"/>
      <sheetName val="Input 5_CKD Type Calculation"/>
      <sheetName val="Input 5a_SKD Type Calculation"/>
      <sheetName val="Input 6_Invest "/>
      <sheetName val="Input 7_Overhead"/>
      <sheetName val="Depreciation Shedule"/>
      <sheetName val="13 Liquidity"/>
      <sheetName val="14 Funding"/>
      <sheetName val="Wholesale functio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hange History"/>
      <sheetName val="Cost Factor"/>
      <sheetName val="Tools"/>
      <sheetName val="Lookup"/>
    </sheetNames>
    <sheetDataSet>
      <sheetData sheetId="0"/>
      <sheetData sheetId="1"/>
      <sheetData sheetId="2"/>
      <sheetData sheetId="3"/>
      <sheetData sheetId="4">
        <row r="62">
          <cell r="B62" t="str">
            <v>Support &amp; Maintenance</v>
          </cell>
        </row>
        <row r="63">
          <cell r="B63" t="str">
            <v>Consultancy fee</v>
          </cell>
        </row>
        <row r="64">
          <cell r="B64" t="str">
            <v>Enhancment/Development Services</v>
          </cell>
        </row>
        <row r="99">
          <cell r="C99">
            <v>950</v>
          </cell>
        </row>
        <row r="115">
          <cell r="B115" t="str">
            <v>SGD</v>
          </cell>
        </row>
        <row r="116">
          <cell r="B116" t="str">
            <v>EUR</v>
          </cell>
        </row>
        <row r="117">
          <cell r="B117" t="str">
            <v>USD</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rafik"/>
      <sheetName val="Eingabemaske"/>
      <sheetName val="Eingabe2Higru"/>
      <sheetName val="Deriv.OpPr"/>
      <sheetName val="Deriv.Net_Assets"/>
      <sheetName val="Deriv.Cash_Flow"/>
      <sheetName val="IS_Rev.Group"/>
      <sheetName val="Total_CapEx_by_Projects"/>
      <sheetName val="CapEx_pp&amp;e_by_Plants"/>
      <sheetName val="R&amp;D_by_Projects"/>
      <sheetName val="Overhead_Costs_by_Projects"/>
      <sheetName val="Total_Expenses_by_Projects"/>
      <sheetName val="Exchange_rates"/>
      <sheetName val="Eval_central_Risk"/>
      <sheetName val="Recon_OpPr_(EA)"/>
      <sheetName val="Ex_rate_effects_(EA)"/>
      <sheetName val="Risk_Mgmt_(EA)"/>
      <sheetName val="OpPr_EA_to_OP"/>
      <sheetName val="NA_EA_to_OP"/>
      <sheetName val="PlanPlan"/>
      <sheetName val="Additional Figures"/>
      <sheetName val="Dev_OP-P_OP-G"/>
      <sheetName val="VA_RONA_OpPr_NA"/>
      <sheetName val="NA_Opt"/>
      <sheetName val="CFbIT"/>
      <sheetName val="Revenues"/>
      <sheetName val="Costs"/>
      <sheetName val="HR"/>
      <sheetName val="Risk_Map"/>
      <sheetName val="Overview"/>
    </sheetNames>
    <sheetDataSet>
      <sheetData sheetId="0"/>
      <sheetData sheetId="1" refreshError="1">
        <row r="2">
          <cell r="B2">
            <v>37500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ExRepositorySheet"/>
      <sheetName val="PIVOT"/>
      <sheetName val="Frozen FTR"/>
      <sheetName val="DELTA"/>
      <sheetName val="2017 pivot"/>
      <sheetName val=" Paul X4"/>
      <sheetName val=" Paul X1"/>
      <sheetName val="PSW pivot"/>
      <sheetName val="FP11"/>
    </sheetNames>
    <sheetDataSet>
      <sheetData sheetId="0"/>
      <sheetData sheetId="1"/>
      <sheetData sheetId="2"/>
      <sheetData sheetId="3"/>
      <sheetData sheetId="4"/>
      <sheetData sheetId="5"/>
      <sheetData sheetId="6"/>
      <sheetData sheetId="7"/>
      <sheetData sheetId="8"/>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_Macro_oec"/>
      <sheetName val="2_Volumes (Sales &amp; production)"/>
      <sheetName val="3_Pricing"/>
      <sheetName val="4b_Workforce Wholesale_Retail"/>
      <sheetName val="5_Wages &amp; Salaries wholesale"/>
      <sheetName val="5a_Wages &amp; Salaries Retail"/>
      <sheetName val="7a_Gross Margin (E 200 K CKD) "/>
      <sheetName val="7b_Gross Margin (E 320 CKD)"/>
      <sheetName val="7c_Gross Margin (E 300 CKD)"/>
      <sheetName val="7d_Gross Margin (E 200 K SKD)"/>
      <sheetName val="7e_Gross Margin (E 320 SKD)"/>
      <sheetName val="7f_Gross Margin (S 350 L SKD)"/>
      <sheetName val="7g_Spare parts"/>
      <sheetName val="7h Workshop"/>
      <sheetName val="7i_Contributions Ret"/>
      <sheetName val="8a_Invest WS"/>
      <sheetName val="8b_Invest Ret"/>
      <sheetName val="9a_Fix Cost WS (Overh)"/>
      <sheetName val="9a_Fix Cost Ret (Overh)"/>
      <sheetName val="10a_Working_cap_WS"/>
      <sheetName val="10b_Working_cap_Ret"/>
      <sheetName val="11a_deprec_actg."/>
      <sheetName val="12_Liquidity"/>
      <sheetName val="13_financ_res"/>
      <sheetName val="14a_Prof+Loss WS"/>
      <sheetName val="14b_Prof+Loss Ret"/>
      <sheetName val="14c_Prof+Loss consol."/>
      <sheetName val="15_Taxation"/>
      <sheetName val="16_Funding"/>
      <sheetName val="17_Balance_sh"/>
      <sheetName val="write up"/>
      <sheetName val="18_Cash-Flow"/>
      <sheetName val="19_NPV"/>
      <sheetName val="V CURRENCY_BALANCE"/>
      <sheetName val="V I._Betriebsergebnis"/>
      <sheetName val="I.b)_BE_E20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row r="40">
          <cell r="B40" t="str">
            <v>Wholesale inventory vehicles (excl. receivables):</v>
          </cell>
          <cell r="E40">
            <v>0</v>
          </cell>
          <cell r="F40">
            <v>4212635142.1874995</v>
          </cell>
          <cell r="G40">
            <v>63751211818.4375</v>
          </cell>
          <cell r="H40">
            <v>72357625413.926559</v>
          </cell>
          <cell r="I40">
            <v>94444790571.527664</v>
          </cell>
          <cell r="J40">
            <v>93212901998.855545</v>
          </cell>
          <cell r="K40">
            <v>89927147203.395874</v>
          </cell>
          <cell r="L40">
            <v>0</v>
          </cell>
          <cell r="M40">
            <v>0</v>
          </cell>
          <cell r="N40">
            <v>0</v>
          </cell>
          <cell r="O40">
            <v>0</v>
          </cell>
        </row>
        <row r="50">
          <cell r="B50" t="str">
            <v>Parts wholesale stock</v>
          </cell>
          <cell r="C50">
            <v>3</v>
          </cell>
          <cell r="E50">
            <v>0</v>
          </cell>
          <cell r="F50">
            <v>1339198349.1600001</v>
          </cell>
          <cell r="G50">
            <v>4416165984.7300014</v>
          </cell>
          <cell r="H50">
            <v>11743468586.594019</v>
          </cell>
          <cell r="I50">
            <v>19156206924.420757</v>
          </cell>
          <cell r="J50">
            <v>24028389364.820602</v>
          </cell>
          <cell r="K50">
            <v>26623455416.221233</v>
          </cell>
          <cell r="L50">
            <v>0</v>
          </cell>
          <cell r="M50">
            <v>0</v>
          </cell>
          <cell r="N50">
            <v>0</v>
          </cell>
          <cell r="O50">
            <v>0</v>
          </cell>
        </row>
        <row r="56">
          <cell r="B56" t="str">
            <v>Total receivables wholesale</v>
          </cell>
          <cell r="E56">
            <v>0</v>
          </cell>
          <cell r="F56">
            <v>17182868.769231785</v>
          </cell>
          <cell r="G56">
            <v>142031157.51985064</v>
          </cell>
          <cell r="H56">
            <v>30128133809.923542</v>
          </cell>
          <cell r="I56">
            <v>77598677578.227203</v>
          </cell>
          <cell r="J56">
            <v>77703986195.023849</v>
          </cell>
          <cell r="K56">
            <v>75239494047.166367</v>
          </cell>
          <cell r="L56">
            <v>0</v>
          </cell>
          <cell r="M56">
            <v>0</v>
          </cell>
          <cell r="N56">
            <v>0</v>
          </cell>
          <cell r="O56">
            <v>0</v>
          </cell>
        </row>
        <row r="82">
          <cell r="B82" t="str">
            <v>Need of liquid funds;  appr. payments of X days)</v>
          </cell>
          <cell r="C82">
            <v>7</v>
          </cell>
          <cell r="E82">
            <v>0</v>
          </cell>
          <cell r="F82">
            <v>2505661099.9783077</v>
          </cell>
          <cell r="G82">
            <v>31665098927.84444</v>
          </cell>
          <cell r="H82">
            <v>37570031857.68174</v>
          </cell>
          <cell r="I82">
            <v>48937188565.996819</v>
          </cell>
          <cell r="J82">
            <v>49159161422.763229</v>
          </cell>
          <cell r="K82">
            <v>47748867882.219742</v>
          </cell>
          <cell r="L82">
            <v>250418499.59046772</v>
          </cell>
          <cell r="M82">
            <v>284224997.03518093</v>
          </cell>
          <cell r="N82">
            <v>322595371.63493031</v>
          </cell>
          <cell r="O82">
            <v>366145746.80564594</v>
          </cell>
        </row>
      </sheetData>
      <sheetData sheetId="20" refreshError="1">
        <row r="40">
          <cell r="B40" t="str">
            <v>Retail inventory vehicles (excl. receivables):</v>
          </cell>
          <cell r="E40">
            <v>0</v>
          </cell>
          <cell r="F40">
            <v>3209626775</v>
          </cell>
          <cell r="G40">
            <v>3642926389.625</v>
          </cell>
          <cell r="H40">
            <v>4134721452.2243748</v>
          </cell>
          <cell r="I40">
            <v>7039363272.4119987</v>
          </cell>
          <cell r="J40">
            <v>7989677314.1876183</v>
          </cell>
          <cell r="K40">
            <v>9068283751.6029453</v>
          </cell>
          <cell r="L40">
            <v>0</v>
          </cell>
          <cell r="M40">
            <v>0</v>
          </cell>
          <cell r="N40">
            <v>0</v>
          </cell>
          <cell r="O40">
            <v>0</v>
          </cell>
        </row>
        <row r="50">
          <cell r="B50" t="str">
            <v>Parts retail stock (covered by wholesale stock)</v>
          </cell>
          <cell r="C50">
            <v>0</v>
          </cell>
          <cell r="E50">
            <v>0</v>
          </cell>
          <cell r="F50">
            <v>0</v>
          </cell>
          <cell r="G50">
            <v>0</v>
          </cell>
          <cell r="H50">
            <v>0</v>
          </cell>
          <cell r="I50">
            <v>0</v>
          </cell>
          <cell r="J50">
            <v>0</v>
          </cell>
          <cell r="K50">
            <v>0</v>
          </cell>
          <cell r="L50">
            <v>0</v>
          </cell>
          <cell r="M50">
            <v>0</v>
          </cell>
          <cell r="N50">
            <v>0</v>
          </cell>
          <cell r="O50">
            <v>0</v>
          </cell>
        </row>
        <row r="56">
          <cell r="B56" t="str">
            <v>Total receivables retail</v>
          </cell>
          <cell r="E56">
            <v>0</v>
          </cell>
          <cell r="F56">
            <v>0</v>
          </cell>
          <cell r="G56">
            <v>0</v>
          </cell>
          <cell r="H56">
            <v>0</v>
          </cell>
          <cell r="I56">
            <v>0</v>
          </cell>
          <cell r="J56">
            <v>0</v>
          </cell>
          <cell r="K56">
            <v>0</v>
          </cell>
          <cell r="L56">
            <v>0</v>
          </cell>
          <cell r="M56">
            <v>0</v>
          </cell>
          <cell r="N56">
            <v>0</v>
          </cell>
          <cell r="O56">
            <v>0</v>
          </cell>
        </row>
        <row r="82">
          <cell r="B82" t="str">
            <v>Need of liquid funds (X% of cost of sales &amp; fix costs)</v>
          </cell>
          <cell r="C82">
            <v>0.01</v>
          </cell>
          <cell r="E82">
            <v>0</v>
          </cell>
          <cell r="F82">
            <v>982272995.31265378</v>
          </cell>
          <cell r="G82">
            <v>6074708994.5628195</v>
          </cell>
          <cell r="H82">
            <v>5545455226.425765</v>
          </cell>
          <cell r="I82">
            <v>7218705412.9968786</v>
          </cell>
          <cell r="J82">
            <v>7296179794.0226688</v>
          </cell>
          <cell r="K82">
            <v>7091013700.4627333</v>
          </cell>
          <cell r="L82">
            <v>132981172.28560887</v>
          </cell>
          <cell r="M82">
            <v>148881713.39874747</v>
          </cell>
          <cell r="N82">
            <v>166067730.91960248</v>
          </cell>
          <cell r="O82">
            <v>186732512.56507125</v>
          </cell>
        </row>
      </sheetData>
      <sheetData sheetId="21" refreshError="1"/>
      <sheetData sheetId="22" refreshError="1">
        <row r="46">
          <cell r="B46" t="str">
            <v xml:space="preserve">  - Dividends privileged shares (40% of net profit after 10% to the reserves)</v>
          </cell>
          <cell r="D46">
            <v>0.4</v>
          </cell>
          <cell r="E46">
            <v>0</v>
          </cell>
          <cell r="F46">
            <v>0</v>
          </cell>
          <cell r="G46">
            <v>0</v>
          </cell>
          <cell r="H46">
            <v>19324058206.87994</v>
          </cell>
          <cell r="I46">
            <v>21780258162.073288</v>
          </cell>
          <cell r="J46">
            <v>30500386567.619812</v>
          </cell>
          <cell r="K46">
            <v>30745122499.002369</v>
          </cell>
          <cell r="L46">
            <v>0</v>
          </cell>
        </row>
        <row r="47">
          <cell r="B47" t="str">
            <v xml:space="preserve">  - Dividends f. employees (maximum = basic salary)</v>
          </cell>
          <cell r="C47">
            <v>0.1</v>
          </cell>
          <cell r="L47">
            <v>0</v>
          </cell>
        </row>
      </sheetData>
      <sheetData sheetId="23" refreshError="1">
        <row r="25">
          <cell r="B25" t="str">
            <v>Capital invested in securities</v>
          </cell>
          <cell r="D25">
            <v>0</v>
          </cell>
          <cell r="E25">
            <v>0</v>
          </cell>
          <cell r="F25">
            <v>600000000</v>
          </cell>
          <cell r="G25">
            <v>25800000000</v>
          </cell>
          <cell r="H25">
            <v>47900000000</v>
          </cell>
          <cell r="I25">
            <v>68500000000</v>
          </cell>
          <cell r="J25">
            <v>138100000000</v>
          </cell>
          <cell r="K25">
            <v>232300000000</v>
          </cell>
        </row>
      </sheetData>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port"/>
      <sheetName val="Variables"/>
    </sheetNames>
    <sheetDataSet>
      <sheetData sheetId="0" refreshError="1"/>
      <sheetData sheetId="1" refreshError="1">
        <row r="1">
          <cell r="A1" t="str">
            <v>Parameter</v>
          </cell>
          <cell r="B1" t="str">
            <v>Value</v>
          </cell>
          <cell r="D1" t="str">
            <v>CC</v>
          </cell>
          <cell r="E1" t="str">
            <v>Desc</v>
          </cell>
          <cell r="F1" t="str">
            <v>Group</v>
          </cell>
          <cell r="H1" t="str">
            <v>Group Code</v>
          </cell>
          <cell r="K1" t="str">
            <v>Month</v>
          </cell>
        </row>
        <row r="2">
          <cell r="A2" t="str">
            <v>CEBeginRow</v>
          </cell>
          <cell r="B2">
            <v>14</v>
          </cell>
          <cell r="D2">
            <v>10900770</v>
          </cell>
          <cell r="E2" t="str">
            <v>Accounting</v>
          </cell>
          <cell r="F2" t="str">
            <v>Accounting</v>
          </cell>
          <cell r="H2" t="str">
            <v>Accounting</v>
          </cell>
          <cell r="K2" t="str">
            <v>Jan</v>
          </cell>
        </row>
        <row r="3">
          <cell r="A3" t="str">
            <v>CEEndRow</v>
          </cell>
          <cell r="B3">
            <v>119</v>
          </cell>
          <cell r="D3">
            <v>10900771</v>
          </cell>
          <cell r="E3" t="str">
            <v>Controlling</v>
          </cell>
          <cell r="F3" t="str">
            <v>Controlling</v>
          </cell>
          <cell r="H3" t="str">
            <v>Controlling</v>
          </cell>
          <cell r="K3" t="str">
            <v>Feb</v>
          </cell>
        </row>
        <row r="4">
          <cell r="A4" t="str">
            <v>CEGroupEnd</v>
          </cell>
          <cell r="B4">
            <v>119</v>
          </cell>
          <cell r="D4">
            <v>10951410</v>
          </cell>
          <cell r="E4" t="str">
            <v>Customer Relationship Management</v>
          </cell>
          <cell r="F4" t="str">
            <v>Customer Relationship Management</v>
          </cell>
          <cell r="H4" t="str">
            <v>Customer Relationship Management</v>
          </cell>
          <cell r="K4" t="str">
            <v>Mar</v>
          </cell>
        </row>
        <row r="5">
          <cell r="A5" t="str">
            <v>CCDeptViewHeadline</v>
          </cell>
          <cell r="D5">
            <v>10951350</v>
          </cell>
          <cell r="E5" t="str">
            <v>Import, Export Contract Management, Planning</v>
          </cell>
          <cell r="F5" t="str">
            <v>Import, Export Contract Management, Planning</v>
          </cell>
          <cell r="H5" t="str">
            <v>Import, Export Contract Management, Planning</v>
          </cell>
          <cell r="K5" t="str">
            <v>Apr</v>
          </cell>
        </row>
        <row r="6">
          <cell r="A6" t="str">
            <v>CCDeptViewBegin</v>
          </cell>
          <cell r="B6">
            <v>249</v>
          </cell>
          <cell r="D6">
            <v>10951321</v>
          </cell>
          <cell r="E6" t="str">
            <v>Inventory Management Team</v>
          </cell>
          <cell r="F6" t="str">
            <v>Inventory Management Team</v>
          </cell>
          <cell r="H6" t="str">
            <v>Inventory Management Team</v>
          </cell>
          <cell r="K6" t="str">
            <v>May</v>
          </cell>
        </row>
        <row r="7">
          <cell r="A7" t="str">
            <v>CCDeptViewEnd</v>
          </cell>
          <cell r="B7">
            <v>355</v>
          </cell>
          <cell r="D7">
            <v>10900750</v>
          </cell>
          <cell r="E7" t="str">
            <v>IT</v>
          </cell>
          <cell r="F7" t="str">
            <v>IT</v>
          </cell>
          <cell r="H7" t="str">
            <v>IT</v>
          </cell>
          <cell r="K7" t="str">
            <v>Jun</v>
          </cell>
        </row>
        <row r="8">
          <cell r="A8" t="str">
            <v>CCGroupCompanyViewBegin</v>
          </cell>
          <cell r="B8">
            <v>358</v>
          </cell>
          <cell r="D8">
            <v>10951300</v>
          </cell>
          <cell r="E8" t="str">
            <v>Management Functions plus Services fromHR</v>
          </cell>
          <cell r="F8" t="str">
            <v>Management Functions plus Services fromHR</v>
          </cell>
          <cell r="H8" t="str">
            <v>Management Functions plus Services fromHR</v>
          </cell>
          <cell r="K8" t="str">
            <v>Jul</v>
          </cell>
        </row>
        <row r="9">
          <cell r="A9" t="str">
            <v>CCGroupCompanyViewEnd</v>
          </cell>
          <cell r="B9">
            <v>400</v>
          </cell>
          <cell r="D9">
            <v>10951320</v>
          </cell>
          <cell r="E9" t="str">
            <v>Supplier Management</v>
          </cell>
          <cell r="F9" t="str">
            <v>Supplier Management</v>
          </cell>
          <cell r="H9" t="str">
            <v>Supplier Management</v>
          </cell>
          <cell r="K9" t="str">
            <v>Aug</v>
          </cell>
        </row>
        <row r="10">
          <cell r="D10">
            <v>10951451</v>
          </cell>
          <cell r="E10" t="str">
            <v>Warehouse Beijing</v>
          </cell>
          <cell r="F10" t="str">
            <v>Warehouse Beijing</v>
          </cell>
          <cell r="H10" t="str">
            <v>Warehouse Beijing</v>
          </cell>
          <cell r="K10" t="str">
            <v>Sep</v>
          </cell>
        </row>
        <row r="11">
          <cell r="D11">
            <v>10951453</v>
          </cell>
          <cell r="E11" t="str">
            <v>Warehouse Guangzhou</v>
          </cell>
          <cell r="F11" t="str">
            <v>Warehouse Guangzhou</v>
          </cell>
          <cell r="H11" t="str">
            <v>Warehouse Guangzhou</v>
          </cell>
          <cell r="K11" t="str">
            <v>Oct</v>
          </cell>
        </row>
        <row r="12">
          <cell r="D12">
            <v>10951450</v>
          </cell>
          <cell r="E12" t="str">
            <v>Warehouse Operations central</v>
          </cell>
          <cell r="F12" t="str">
            <v>Warehouse Operations central</v>
          </cell>
          <cell r="H12" t="str">
            <v>Warehouse Operations central</v>
          </cell>
          <cell r="K12" t="str">
            <v>Nov</v>
          </cell>
        </row>
        <row r="13">
          <cell r="D13">
            <v>10951452</v>
          </cell>
          <cell r="E13" t="str">
            <v>Warehouse Shanghai</v>
          </cell>
          <cell r="F13" t="str">
            <v>Warehouse Shanghai</v>
          </cell>
          <cell r="H13" t="str">
            <v>Warehouse Shanghai</v>
          </cell>
          <cell r="K13" t="str">
            <v>Dec</v>
          </cell>
        </row>
        <row r="14">
          <cell r="D14">
            <v>10540100</v>
          </cell>
          <cell r="E14" t="str">
            <v>Parts MB PC</v>
          </cell>
          <cell r="F14" t="str">
            <v>Parts MB PC</v>
          </cell>
          <cell r="H14" t="str">
            <v>Parts MB PC</v>
          </cell>
        </row>
        <row r="15">
          <cell r="D15">
            <v>10550100</v>
          </cell>
          <cell r="E15" t="str">
            <v>Parts CV</v>
          </cell>
          <cell r="F15" t="str">
            <v>Parts CV</v>
          </cell>
          <cell r="H15" t="str">
            <v>Parts CV</v>
          </cell>
        </row>
        <row r="16">
          <cell r="D16">
            <v>10550200</v>
          </cell>
          <cell r="E16" t="str">
            <v>Parts Van</v>
          </cell>
          <cell r="F16" t="str">
            <v>Parts Van</v>
          </cell>
          <cell r="H16" t="str">
            <v>Parts Van</v>
          </cell>
        </row>
        <row r="17">
          <cell r="D17">
            <v>10550300</v>
          </cell>
          <cell r="E17" t="str">
            <v>Parts Trucks</v>
          </cell>
          <cell r="F17" t="str">
            <v>Parts Trucks</v>
          </cell>
          <cell r="H17" t="str">
            <v>Parts Trucks</v>
          </cell>
        </row>
        <row r="18">
          <cell r="D18">
            <v>10550400</v>
          </cell>
          <cell r="E18" t="str">
            <v>Parts Buses</v>
          </cell>
          <cell r="F18" t="str">
            <v>Parts Buses</v>
          </cell>
          <cell r="H18" t="str">
            <v>Parts Buses</v>
          </cell>
        </row>
      </sheetData>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le Assumptions"/>
      <sheetName val="transition from BP(basis FS)"/>
      <sheetName val="Cover Sheet (DC)"/>
      <sheetName val="Cover Sheet (incl. fin. Res.)"/>
      <sheetName val="Cover Sheet (Feasibility new)"/>
      <sheetName val="1. Cash Flow (Feasibility)"/>
      <sheetName val="1. Cash Flow"/>
      <sheetName val="1. Cash Flow (RMB)"/>
      <sheetName val="2. Profit and Loss"/>
      <sheetName val="2. Profit and Loss (RMB)"/>
      <sheetName val="3. Net Assets_WC (DC)"/>
      <sheetName val="3. Net Assets_WC (Feasibility)"/>
      <sheetName val="4. Working Capital"/>
      <sheetName val="4a. WoC data"/>
      <sheetName val="4b. Delivery"/>
      <sheetName val="5. Taxes to Government"/>
      <sheetName val="6. Total Revenue"/>
      <sheetName val="7. Total Variable Costs"/>
      <sheetName val="8. Financing Req"/>
      <sheetName val="9. Royalty"/>
      <sheetName val="Input 0_Macro_eco"/>
      <sheetName val="Input 1_Volume"/>
      <sheetName val="Input 2_Pricing"/>
      <sheetName val="Input 3_Workforce Production"/>
      <sheetName val="Input 4_Wages"/>
      <sheetName val="Input 5_CKD Type Calculation"/>
      <sheetName val="Input 5a_SKD Type Calculation"/>
      <sheetName val="Input 6_Invest "/>
      <sheetName val="Ivest 2004-05"/>
      <sheetName val="Depreciation Shedule"/>
      <sheetName val="Depreciation Shedule2"/>
      <sheetName val="Input 7_Overhead"/>
      <sheetName val="13 Liquidity"/>
      <sheetName val="14 Funding"/>
      <sheetName val="Wholesale functio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row r="14">
          <cell r="B14" t="str">
            <v xml:space="preserve">  - Direct labor workers (without foreman) </v>
          </cell>
          <cell r="D14">
            <v>0</v>
          </cell>
          <cell r="E14">
            <v>25</v>
          </cell>
          <cell r="F14">
            <v>275</v>
          </cell>
          <cell r="G14">
            <v>686</v>
          </cell>
          <cell r="H14">
            <v>686</v>
          </cell>
          <cell r="I14">
            <v>686</v>
          </cell>
          <cell r="J14">
            <v>852</v>
          </cell>
          <cell r="K14">
            <v>852</v>
          </cell>
        </row>
        <row r="15">
          <cell r="B15" t="str">
            <v xml:space="preserve">  - Indirect labor workers</v>
          </cell>
          <cell r="D15">
            <v>0</v>
          </cell>
          <cell r="E15">
            <v>0</v>
          </cell>
          <cell r="F15">
            <v>9.9999999999999995E-7</v>
          </cell>
          <cell r="G15">
            <v>9.9999999999999995E-7</v>
          </cell>
          <cell r="H15">
            <v>9.9999999999999995E-7</v>
          </cell>
          <cell r="I15">
            <v>9.9999999999999995E-7</v>
          </cell>
          <cell r="J15">
            <v>9.9999999999999995E-7</v>
          </cell>
          <cell r="K15">
            <v>9.9999999999999995E-7</v>
          </cell>
        </row>
        <row r="16">
          <cell r="B16" t="str">
            <v xml:space="preserve">  - Employees </v>
          </cell>
          <cell r="D16">
            <v>0</v>
          </cell>
          <cell r="E16">
            <v>0</v>
          </cell>
          <cell r="F16">
            <v>120</v>
          </cell>
          <cell r="G16">
            <v>294</v>
          </cell>
          <cell r="H16">
            <v>294</v>
          </cell>
          <cell r="I16">
            <v>294</v>
          </cell>
          <cell r="J16">
            <v>294</v>
          </cell>
          <cell r="K16">
            <v>294</v>
          </cell>
        </row>
        <row r="19">
          <cell r="B19" t="str">
            <v xml:space="preserve">  - Level 1 Management (without expats)</v>
          </cell>
          <cell r="D19">
            <v>0</v>
          </cell>
          <cell r="E19">
            <v>0</v>
          </cell>
          <cell r="F19">
            <v>0</v>
          </cell>
          <cell r="G19">
            <v>0</v>
          </cell>
          <cell r="H19">
            <v>0</v>
          </cell>
          <cell r="I19">
            <v>0</v>
          </cell>
          <cell r="J19">
            <v>0</v>
          </cell>
          <cell r="K19">
            <v>0</v>
          </cell>
        </row>
        <row r="20">
          <cell r="B20" t="str">
            <v xml:space="preserve">  - Level 2 Management (without expats) </v>
          </cell>
          <cell r="D20">
            <v>0</v>
          </cell>
          <cell r="E20">
            <v>0</v>
          </cell>
          <cell r="F20">
            <v>1</v>
          </cell>
          <cell r="G20">
            <v>1</v>
          </cell>
          <cell r="H20">
            <v>1</v>
          </cell>
          <cell r="I20">
            <v>1</v>
          </cell>
          <cell r="J20">
            <v>1</v>
          </cell>
          <cell r="K20">
            <v>1</v>
          </cell>
        </row>
        <row r="21">
          <cell r="B21" t="str">
            <v xml:space="preserve">  - Level 3 Management (without expats) </v>
          </cell>
          <cell r="D21">
            <v>0</v>
          </cell>
          <cell r="E21">
            <v>0</v>
          </cell>
          <cell r="F21">
            <v>2</v>
          </cell>
          <cell r="G21">
            <v>3</v>
          </cell>
          <cell r="H21">
            <v>3</v>
          </cell>
          <cell r="I21">
            <v>5</v>
          </cell>
          <cell r="J21">
            <v>5</v>
          </cell>
          <cell r="K21">
            <v>5</v>
          </cell>
        </row>
        <row r="22">
          <cell r="B22" t="str">
            <v xml:space="preserve">  - Level 4 Management (without expats) </v>
          </cell>
          <cell r="D22">
            <v>0</v>
          </cell>
          <cell r="E22">
            <v>0</v>
          </cell>
          <cell r="F22">
            <v>10</v>
          </cell>
          <cell r="G22">
            <v>24</v>
          </cell>
          <cell r="H22">
            <v>24</v>
          </cell>
          <cell r="I22">
            <v>24</v>
          </cell>
          <cell r="J22">
            <v>24</v>
          </cell>
          <cell r="K22">
            <v>27</v>
          </cell>
        </row>
        <row r="28">
          <cell r="B28" t="str">
            <v>Total Management</v>
          </cell>
          <cell r="D28">
            <v>0</v>
          </cell>
          <cell r="E28">
            <v>3</v>
          </cell>
          <cell r="F28">
            <v>50</v>
          </cell>
          <cell r="G28">
            <v>81</v>
          </cell>
          <cell r="H28">
            <v>81</v>
          </cell>
          <cell r="I28">
            <v>82</v>
          </cell>
          <cell r="J28">
            <v>87</v>
          </cell>
          <cell r="K28">
            <v>92</v>
          </cell>
        </row>
      </sheetData>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row r="31">
          <cell r="B31" t="str">
            <v>= Subtotal: Financial surplus/deficit</v>
          </cell>
          <cell r="E31">
            <v>6.6465256797583088</v>
          </cell>
          <cell r="F31">
            <v>42999993.353474319</v>
          </cell>
          <cell r="G31">
            <v>-101026625.8799943</v>
          </cell>
          <cell r="H31">
            <v>-141674487.08120453</v>
          </cell>
          <cell r="I31">
            <v>-132257500.13878562</v>
          </cell>
          <cell r="J31">
            <v>-47041056.64548815</v>
          </cell>
          <cell r="K31">
            <v>-28443400.515054524</v>
          </cell>
          <cell r="L31">
            <v>6809240.4934398681</v>
          </cell>
          <cell r="M31">
            <v>39393547.310309425</v>
          </cell>
          <cell r="N31">
            <v>69322986.193189025</v>
          </cell>
          <cell r="O31">
            <v>68795564.668126747</v>
          </cell>
        </row>
      </sheetData>
      <sheetData sheetId="33" refreshError="1">
        <row r="41">
          <cell r="B41" t="str">
            <v>DCAG-share</v>
          </cell>
          <cell r="E41">
            <v>0.5</v>
          </cell>
          <cell r="F41">
            <v>0.5</v>
          </cell>
          <cell r="G41">
            <v>0.5</v>
          </cell>
          <cell r="H41">
            <v>0.5</v>
          </cell>
          <cell r="I41">
            <v>0.5</v>
          </cell>
          <cell r="J41">
            <v>0.5</v>
          </cell>
          <cell r="K41">
            <v>0.5</v>
          </cell>
          <cell r="L41">
            <v>0.5</v>
          </cell>
          <cell r="M41">
            <v>0.5</v>
          </cell>
          <cell r="N41">
            <v>0.5</v>
          </cell>
          <cell r="O41">
            <v>0.5</v>
          </cell>
        </row>
        <row r="44">
          <cell r="B44" t="str">
            <v>BAIC share</v>
          </cell>
          <cell r="C44">
            <v>0.5</v>
          </cell>
          <cell r="E44">
            <v>0.5</v>
          </cell>
          <cell r="F44">
            <v>0.5</v>
          </cell>
          <cell r="G44">
            <v>0.5</v>
          </cell>
          <cell r="H44">
            <v>0.5</v>
          </cell>
          <cell r="I44">
            <v>0.5</v>
          </cell>
          <cell r="J44">
            <v>0.5</v>
          </cell>
          <cell r="K44">
            <v>0.5</v>
          </cell>
          <cell r="L44">
            <v>0.5</v>
          </cell>
          <cell r="M44">
            <v>0.5</v>
          </cell>
          <cell r="N44">
            <v>0.5</v>
          </cell>
          <cell r="O44">
            <v>0.5</v>
          </cell>
        </row>
        <row r="46">
          <cell r="B46" t="str">
            <v xml:space="preserve">   - Long-term loans current value (LC)</v>
          </cell>
          <cell r="C46" t="str">
            <v>Share</v>
          </cell>
          <cell r="D46">
            <v>0</v>
          </cell>
          <cell r="E46">
            <v>0</v>
          </cell>
          <cell r="F46">
            <v>0</v>
          </cell>
          <cell r="G46">
            <v>0</v>
          </cell>
          <cell r="H46">
            <v>0</v>
          </cell>
          <cell r="I46">
            <v>0</v>
          </cell>
          <cell r="J46">
            <v>0</v>
          </cell>
          <cell r="K46">
            <v>0</v>
          </cell>
          <cell r="L46" t="e">
            <v>#REF!</v>
          </cell>
          <cell r="M46" t="e">
            <v>#REF!</v>
          </cell>
          <cell r="N46" t="e">
            <v>#REF!</v>
          </cell>
          <cell r="O46" t="e">
            <v>#REF!</v>
          </cell>
        </row>
        <row r="50">
          <cell r="B50" t="str">
            <v xml:space="preserve">   - Short-term loans current value (LC)</v>
          </cell>
          <cell r="D50">
            <v>0</v>
          </cell>
          <cell r="E50">
            <v>0</v>
          </cell>
          <cell r="F50">
            <v>8790000</v>
          </cell>
          <cell r="G50">
            <v>460000</v>
          </cell>
          <cell r="H50">
            <v>230000</v>
          </cell>
          <cell r="I50">
            <v>230000</v>
          </cell>
          <cell r="J50">
            <v>2720000</v>
          </cell>
          <cell r="K50">
            <v>230000</v>
          </cell>
          <cell r="L50" t="e">
            <v>#REF!</v>
          </cell>
          <cell r="M50" t="e">
            <v>#REF!</v>
          </cell>
          <cell r="N50" t="e">
            <v>#REF!</v>
          </cell>
          <cell r="O50" t="e">
            <v>#REF!</v>
          </cell>
        </row>
        <row r="55">
          <cell r="B55" t="str">
            <v>Loans  (total)</v>
          </cell>
          <cell r="E55">
            <v>0</v>
          </cell>
          <cell r="F55">
            <v>0</v>
          </cell>
          <cell r="G55">
            <v>460000</v>
          </cell>
          <cell r="H55">
            <v>230000</v>
          </cell>
          <cell r="I55">
            <v>230000</v>
          </cell>
          <cell r="J55">
            <v>2720000</v>
          </cell>
          <cell r="K55">
            <v>230000</v>
          </cell>
          <cell r="L55" t="e">
            <v>#REF!</v>
          </cell>
          <cell r="M55" t="e">
            <v>#REF!</v>
          </cell>
          <cell r="N55" t="e">
            <v>#REF!</v>
          </cell>
          <cell r="O55" t="e">
            <v>#REF!</v>
          </cell>
        </row>
        <row r="57">
          <cell r="B57" t="str">
            <v>Change in Loans (total)</v>
          </cell>
          <cell r="D57">
            <v>0</v>
          </cell>
          <cell r="E57">
            <v>0</v>
          </cell>
          <cell r="F57">
            <v>-8790000</v>
          </cell>
          <cell r="G57">
            <v>8560000</v>
          </cell>
          <cell r="H57">
            <v>230000</v>
          </cell>
          <cell r="I57">
            <v>0</v>
          </cell>
          <cell r="J57">
            <v>-2490000</v>
          </cell>
          <cell r="K57">
            <v>2490000</v>
          </cell>
          <cell r="L57" t="e">
            <v>#REF!</v>
          </cell>
          <cell r="M57" t="e">
            <v>#REF!</v>
          </cell>
          <cell r="N57" t="e">
            <v>#REF!</v>
          </cell>
          <cell r="O57" t="e">
            <v>#REF!</v>
          </cell>
        </row>
      </sheetData>
      <sheetData sheetId="34"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shistorie"/>
      <sheetName val="Übersicht"/>
      <sheetName val="Volumenentwicklung"/>
      <sheetName val="Lines"/>
      <sheetName val="Sortimentseinstieg"/>
      <sheetName val="Ziel-Lagerumschlag"/>
      <sheetName val="SKU"/>
      <sheetName val="SoH"/>
      <sheetName val="Flächen"/>
      <sheetName val="GLC"/>
      <sheetName val="LC Hannover"/>
      <sheetName val="LC Köln"/>
      <sheetName val="LC Nürnberg"/>
      <sheetName val="LC Reutlingen"/>
      <sheetName val="LC Mainz"/>
      <sheetName val="ELC EsR"/>
      <sheetName val="ELC Valenciennes"/>
      <sheetName val="ELC Miralcampo"/>
      <sheetName val="ELC Capena"/>
      <sheetName val="ELC Wetzikon"/>
      <sheetName val="ELC Milton Keynes"/>
      <sheetName val="ELC Warschau"/>
      <sheetName val="PDC Moskau"/>
      <sheetName val="USA"/>
      <sheetName val="RLC Dubai"/>
      <sheetName val="Japan"/>
      <sheetName val="RLC Singapur"/>
      <sheetName val="Chin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_Macro_oec"/>
      <sheetName val="2_Volumes (Sales &amp; production)"/>
      <sheetName val="3_Pricing"/>
      <sheetName val="4_Workforce"/>
      <sheetName val="5_Wages &amp; Salaries"/>
      <sheetName val="6_CKD  E200K"/>
      <sheetName val="7_Gross Margin (E 200K CKD) "/>
      <sheetName val="6_CKD  E320"/>
      <sheetName val="7_Gross Margin (E 320 CKD)"/>
      <sheetName val="6_CKD  E300"/>
      <sheetName val="7_Gross Margin (E 300 CKD)"/>
      <sheetName val="6_SKD  E200K"/>
      <sheetName val="7_Gross Margin (E 200K SKD)"/>
      <sheetName val="6_SKD  E320"/>
      <sheetName val="7_Gross Margin (E 320 SKD)"/>
      <sheetName val="6_SKD  S350L"/>
      <sheetName val="7_Gross Margin (S 350L SKD)"/>
      <sheetName val="8_Invest Production"/>
      <sheetName val="9_Fix Cost Prod. (Overh)"/>
      <sheetName val="10_Work_cap"/>
      <sheetName val="11a_deprec_actg."/>
      <sheetName val="12_Cash_fl"/>
      <sheetName val="NPV"/>
      <sheetName val="13_financ_res"/>
      <sheetName val="14_P&amp;L"/>
      <sheetName val="15_Taxation"/>
    </sheetNames>
    <sheetDataSet>
      <sheetData sheetId="0" refreshError="1">
        <row r="6">
          <cell r="B6" t="str">
            <v xml:space="preserve">  - IRR / US$</v>
          </cell>
          <cell r="D6" t="str">
            <v xml:space="preserve"> </v>
          </cell>
          <cell r="E6">
            <v>8075</v>
          </cell>
          <cell r="F6">
            <v>8419.2540094339602</v>
          </cell>
          <cell r="G6">
            <v>8785.2212158256862</v>
          </cell>
          <cell r="H6">
            <v>9426.5423645809606</v>
          </cell>
          <cell r="I6">
            <v>10114.679957195371</v>
          </cell>
          <cell r="J6">
            <v>10853.051594070632</v>
          </cell>
          <cell r="K6">
            <v>11645.324360437789</v>
          </cell>
          <cell r="L6">
            <v>12495.433038749747</v>
          </cell>
          <cell r="M6">
            <v>13407.599650578477</v>
          </cell>
          <cell r="N6">
            <v>14386.354425070705</v>
          </cell>
          <cell r="O6">
            <v>15436.558298100868</v>
          </cell>
        </row>
        <row r="9">
          <cell r="B9" t="str">
            <v xml:space="preserve">  - IRR / EUR  </v>
          </cell>
          <cell r="E9">
            <v>8317.25</v>
          </cell>
          <cell r="F9">
            <v>8924.4092499999988</v>
          </cell>
          <cell r="G9">
            <v>9575.8911252499984</v>
          </cell>
          <cell r="H9">
            <v>10274.931177393248</v>
          </cell>
          <cell r="I9">
            <v>11025.001153342955</v>
          </cell>
          <cell r="J9">
            <v>11829.82623753699</v>
          </cell>
          <cell r="K9">
            <v>12693.403552877191</v>
          </cell>
          <cell r="L9">
            <v>13620.022012237225</v>
          </cell>
          <cell r="M9">
            <v>14614.283619130541</v>
          </cell>
          <cell r="N9">
            <v>15681.126323327071</v>
          </cell>
          <cell r="O9">
            <v>16825.848544929948</v>
          </cell>
        </row>
        <row r="93">
          <cell r="B93" t="str">
            <v>production tax E 200 CKD</v>
          </cell>
          <cell r="D93" t="str">
            <v>cum. tax</v>
          </cell>
          <cell r="E93">
            <v>18819.32707210325</v>
          </cell>
          <cell r="F93">
            <v>20958.258516494803</v>
          </cell>
          <cell r="G93">
            <v>23346.221050273558</v>
          </cell>
          <cell r="H93">
            <v>24273.506808128208</v>
          </cell>
          <cell r="I93">
            <v>25299.448273080008</v>
          </cell>
          <cell r="J93">
            <v>26381.488893722344</v>
          </cell>
          <cell r="K93">
            <v>27481.924204915635</v>
          </cell>
          <cell r="L93">
            <v>0</v>
          </cell>
          <cell r="M93">
            <v>0</v>
          </cell>
          <cell r="N93">
            <v>0</v>
          </cell>
          <cell r="O93">
            <v>0</v>
          </cell>
        </row>
        <row r="122">
          <cell r="B122" t="str">
            <v>production tax E 320 CKD</v>
          </cell>
          <cell r="D122" t="str">
            <v>cum. tax</v>
          </cell>
          <cell r="E122">
            <v>36817.500804415045</v>
          </cell>
          <cell r="F122">
            <v>40856.718445878447</v>
          </cell>
          <cell r="G122">
            <v>45370.257334552189</v>
          </cell>
          <cell r="H122">
            <v>47224.451709239584</v>
          </cell>
          <cell r="I122">
            <v>49110.167388296635</v>
          </cell>
          <cell r="J122">
            <v>51027.94023389768</v>
          </cell>
          <cell r="K122">
            <v>53116.308032947985</v>
          </cell>
          <cell r="L122">
            <v>0</v>
          </cell>
          <cell r="M122">
            <v>0</v>
          </cell>
          <cell r="N122">
            <v>0</v>
          </cell>
          <cell r="O122">
            <v>0</v>
          </cell>
        </row>
        <row r="151">
          <cell r="B151" t="str">
            <v>production tax E 300 CKD</v>
          </cell>
          <cell r="D151" t="str">
            <v>cum. tax</v>
          </cell>
          <cell r="E151">
            <v>36817.500804415045</v>
          </cell>
          <cell r="F151">
            <v>40856.718445878447</v>
          </cell>
          <cell r="G151">
            <v>45370.257334552189</v>
          </cell>
          <cell r="H151">
            <v>47224.451709239584</v>
          </cell>
          <cell r="I151">
            <v>49110.167388296635</v>
          </cell>
          <cell r="J151">
            <v>51027.94023389768</v>
          </cell>
          <cell r="K151">
            <v>53116.308032947985</v>
          </cell>
          <cell r="L151">
            <v>0</v>
          </cell>
          <cell r="M151">
            <v>0</v>
          </cell>
          <cell r="N151">
            <v>0</v>
          </cell>
          <cell r="O151">
            <v>0</v>
          </cell>
        </row>
        <row r="180">
          <cell r="B180" t="str">
            <v>production tax E 200 K SKD</v>
          </cell>
          <cell r="D180" t="str">
            <v>cum. tax</v>
          </cell>
          <cell r="E180">
            <v>33042.913501958144</v>
          </cell>
          <cell r="F180">
            <v>36624.484383002942</v>
          </cell>
          <cell r="G180">
            <v>40797.226710567433</v>
          </cell>
          <cell r="H180">
            <v>42418.979564647088</v>
          </cell>
          <cell r="I180">
            <v>44104.25612625033</v>
          </cell>
          <cell r="J180">
            <v>45936.928480396542</v>
          </cell>
          <cell r="K180">
            <v>47800.756264563264</v>
          </cell>
          <cell r="L180">
            <v>0</v>
          </cell>
          <cell r="M180">
            <v>0</v>
          </cell>
          <cell r="N180">
            <v>0</v>
          </cell>
          <cell r="O180">
            <v>0</v>
          </cell>
        </row>
        <row r="209">
          <cell r="B209" t="str">
            <v>production tax E 320 SKD</v>
          </cell>
          <cell r="D209" t="str">
            <v>cum. tax</v>
          </cell>
          <cell r="E209">
            <v>61195.95420057921</v>
          </cell>
          <cell r="F209">
            <v>67674.531613641506</v>
          </cell>
          <cell r="G209">
            <v>75044.519937046512</v>
          </cell>
          <cell r="H209">
            <v>77933.576775976297</v>
          </cell>
          <cell r="I209">
            <v>81048.217012327819</v>
          </cell>
          <cell r="J209">
            <v>84238.236701537389</v>
          </cell>
          <cell r="K209">
            <v>87482.486725463503</v>
          </cell>
          <cell r="L209">
            <v>0</v>
          </cell>
          <cell r="M209">
            <v>0</v>
          </cell>
          <cell r="N209">
            <v>0</v>
          </cell>
          <cell r="O209">
            <v>0</v>
          </cell>
        </row>
        <row r="238">
          <cell r="B238" t="str">
            <v>production tax S 350 L SKD</v>
          </cell>
          <cell r="D238" t="str">
            <v>cum. tax</v>
          </cell>
          <cell r="E238">
            <v>132680.32146176044</v>
          </cell>
          <cell r="F238">
            <v>146461.22713953225</v>
          </cell>
          <cell r="G238">
            <v>161726.7205523171</v>
          </cell>
          <cell r="H238">
            <v>167893.25346233521</v>
          </cell>
          <cell r="I238">
            <v>174261.33877119477</v>
          </cell>
          <cell r="J238">
            <v>180830.56229917813</v>
          </cell>
          <cell r="K238">
            <v>187705.88185826407</v>
          </cell>
          <cell r="L238">
            <v>0</v>
          </cell>
          <cell r="M238">
            <v>0</v>
          </cell>
          <cell r="N238">
            <v>0</v>
          </cell>
          <cell r="O238">
            <v>0</v>
          </cell>
        </row>
      </sheetData>
      <sheetData sheetId="1" refreshError="1">
        <row r="43">
          <cell r="B43" t="str">
            <v xml:space="preserve">  - Production E 200 K (SKD)</v>
          </cell>
          <cell r="E43">
            <v>450</v>
          </cell>
          <cell r="F43">
            <v>450</v>
          </cell>
          <cell r="G43">
            <v>0</v>
          </cell>
          <cell r="H43">
            <v>0</v>
          </cell>
          <cell r="I43">
            <v>0</v>
          </cell>
          <cell r="J43">
            <v>0</v>
          </cell>
          <cell r="K43">
            <v>0</v>
          </cell>
          <cell r="L43">
            <v>0</v>
          </cell>
          <cell r="M43">
            <v>0</v>
          </cell>
          <cell r="N43">
            <v>0</v>
          </cell>
          <cell r="O43">
            <v>0</v>
          </cell>
        </row>
        <row r="44">
          <cell r="B44" t="str">
            <v xml:space="preserve">  - Production E 320 (SKD)</v>
          </cell>
          <cell r="E44">
            <v>100</v>
          </cell>
          <cell r="F44">
            <v>100</v>
          </cell>
          <cell r="G44">
            <v>0</v>
          </cell>
          <cell r="H44">
            <v>0</v>
          </cell>
          <cell r="I44">
            <v>0</v>
          </cell>
          <cell r="J44">
            <v>0</v>
          </cell>
          <cell r="K44">
            <v>0</v>
          </cell>
          <cell r="L44">
            <v>0</v>
          </cell>
          <cell r="M44">
            <v>0</v>
          </cell>
          <cell r="N44">
            <v>0</v>
          </cell>
          <cell r="O44">
            <v>0</v>
          </cell>
        </row>
        <row r="45">
          <cell r="B45" t="str">
            <v xml:space="preserve">  - Production S 350 L (SKD)</v>
          </cell>
          <cell r="E45">
            <v>50</v>
          </cell>
          <cell r="F45">
            <v>50</v>
          </cell>
          <cell r="G45">
            <v>0</v>
          </cell>
          <cell r="H45">
            <v>0</v>
          </cell>
          <cell r="I45">
            <v>0</v>
          </cell>
          <cell r="J45">
            <v>0</v>
          </cell>
          <cell r="K45">
            <v>0</v>
          </cell>
          <cell r="L45">
            <v>0</v>
          </cell>
          <cell r="M45">
            <v>0</v>
          </cell>
          <cell r="N45">
            <v>0</v>
          </cell>
          <cell r="O45">
            <v>0</v>
          </cell>
        </row>
        <row r="49">
          <cell r="B49" t="str">
            <v xml:space="preserve">  - Production E 200 K (CKD)</v>
          </cell>
          <cell r="E49">
            <v>0</v>
          </cell>
          <cell r="F49">
            <v>110</v>
          </cell>
          <cell r="G49">
            <v>1500</v>
          </cell>
          <cell r="H49">
            <v>1500</v>
          </cell>
          <cell r="I49">
            <v>1750</v>
          </cell>
          <cell r="J49">
            <v>1500</v>
          </cell>
          <cell r="K49">
            <v>1275</v>
          </cell>
          <cell r="L49">
            <v>0</v>
          </cell>
          <cell r="M49">
            <v>0</v>
          </cell>
          <cell r="N49">
            <v>0</v>
          </cell>
          <cell r="O49">
            <v>0</v>
          </cell>
        </row>
        <row r="50">
          <cell r="B50" t="str">
            <v xml:space="preserve">  - Production E 320 (CKD)</v>
          </cell>
          <cell r="E50">
            <v>0</v>
          </cell>
          <cell r="F50">
            <v>40</v>
          </cell>
          <cell r="G50">
            <v>0</v>
          </cell>
          <cell r="H50">
            <v>0</v>
          </cell>
          <cell r="I50">
            <v>0</v>
          </cell>
          <cell r="J50">
            <v>0</v>
          </cell>
          <cell r="K50">
            <v>0</v>
          </cell>
          <cell r="L50">
            <v>0</v>
          </cell>
          <cell r="M50">
            <v>0</v>
          </cell>
          <cell r="N50">
            <v>0</v>
          </cell>
          <cell r="O50">
            <v>0</v>
          </cell>
        </row>
        <row r="51">
          <cell r="B51" t="str">
            <v xml:space="preserve">  - Production E 300 (CKD)</v>
          </cell>
          <cell r="G51">
            <v>500</v>
          </cell>
          <cell r="H51">
            <v>500</v>
          </cell>
          <cell r="I51">
            <v>550</v>
          </cell>
          <cell r="J51">
            <v>500</v>
          </cell>
          <cell r="K51">
            <v>425</v>
          </cell>
          <cell r="L51">
            <v>0</v>
          </cell>
          <cell r="M51">
            <v>0</v>
          </cell>
          <cell r="N51">
            <v>0</v>
          </cell>
          <cell r="O51">
            <v>0</v>
          </cell>
        </row>
        <row r="61">
          <cell r="B61" t="str">
            <v xml:space="preserve">  - Sales ex Prod JV E 200 K (SKD)</v>
          </cell>
          <cell r="E61">
            <v>450</v>
          </cell>
          <cell r="F61">
            <v>450</v>
          </cell>
          <cell r="G61">
            <v>0</v>
          </cell>
          <cell r="H61">
            <v>0</v>
          </cell>
          <cell r="I61">
            <v>0</v>
          </cell>
          <cell r="J61">
            <v>0</v>
          </cell>
          <cell r="K61">
            <v>0</v>
          </cell>
          <cell r="L61">
            <v>0</v>
          </cell>
          <cell r="M61">
            <v>0</v>
          </cell>
          <cell r="N61">
            <v>0</v>
          </cell>
          <cell r="O61">
            <v>0</v>
          </cell>
        </row>
        <row r="62">
          <cell r="B62" t="str">
            <v xml:space="preserve">  - Sales ex Prod JV E 320 (SKD)</v>
          </cell>
          <cell r="E62">
            <v>100</v>
          </cell>
          <cell r="F62">
            <v>100</v>
          </cell>
          <cell r="G62">
            <v>0</v>
          </cell>
          <cell r="H62">
            <v>0</v>
          </cell>
          <cell r="I62">
            <v>0</v>
          </cell>
          <cell r="J62">
            <v>0</v>
          </cell>
          <cell r="K62">
            <v>0</v>
          </cell>
          <cell r="L62">
            <v>0</v>
          </cell>
          <cell r="M62">
            <v>0</v>
          </cell>
          <cell r="N62">
            <v>0</v>
          </cell>
          <cell r="O62">
            <v>0</v>
          </cell>
        </row>
        <row r="63">
          <cell r="B63" t="str">
            <v xml:space="preserve">  - Sales ex Prod JV S 350 L (SKD)</v>
          </cell>
          <cell r="E63">
            <v>50</v>
          </cell>
          <cell r="F63">
            <v>50</v>
          </cell>
          <cell r="G63">
            <v>0</v>
          </cell>
          <cell r="H63">
            <v>0</v>
          </cell>
          <cell r="I63">
            <v>0</v>
          </cell>
          <cell r="J63">
            <v>0</v>
          </cell>
          <cell r="K63">
            <v>0</v>
          </cell>
          <cell r="L63">
            <v>0</v>
          </cell>
          <cell r="M63">
            <v>0</v>
          </cell>
          <cell r="N63">
            <v>0</v>
          </cell>
          <cell r="O63">
            <v>0</v>
          </cell>
        </row>
        <row r="67">
          <cell r="B67" t="str">
            <v xml:space="preserve">  - Sales ex Prod JV E 200 K (CKD)</v>
          </cell>
          <cell r="D67">
            <v>1505</v>
          </cell>
          <cell r="E67">
            <v>0</v>
          </cell>
          <cell r="F67">
            <v>110</v>
          </cell>
          <cell r="G67">
            <v>1500</v>
          </cell>
          <cell r="H67">
            <v>1500</v>
          </cell>
          <cell r="I67">
            <v>1750</v>
          </cell>
          <cell r="J67">
            <v>1500</v>
          </cell>
          <cell r="K67">
            <v>1275</v>
          </cell>
          <cell r="L67">
            <v>0</v>
          </cell>
          <cell r="M67">
            <v>0</v>
          </cell>
          <cell r="N67">
            <v>0</v>
          </cell>
          <cell r="O67">
            <v>0</v>
          </cell>
        </row>
        <row r="68">
          <cell r="B68" t="str">
            <v xml:space="preserve">  - Sales ex Prod JV E 320 (CKD)</v>
          </cell>
          <cell r="D68">
            <v>0</v>
          </cell>
          <cell r="E68">
            <v>0</v>
          </cell>
          <cell r="F68">
            <v>40</v>
          </cell>
          <cell r="G68">
            <v>0</v>
          </cell>
          <cell r="H68">
            <v>0</v>
          </cell>
          <cell r="I68">
            <v>0</v>
          </cell>
          <cell r="J68">
            <v>0</v>
          </cell>
          <cell r="K68">
            <v>0</v>
          </cell>
          <cell r="L68">
            <v>0</v>
          </cell>
          <cell r="M68">
            <v>0</v>
          </cell>
          <cell r="N68">
            <v>0</v>
          </cell>
          <cell r="O68">
            <v>0</v>
          </cell>
        </row>
        <row r="69">
          <cell r="B69" t="str">
            <v xml:space="preserve">  - Sales ex Prod JV E 300 (CKD)</v>
          </cell>
          <cell r="D69">
            <v>495</v>
          </cell>
          <cell r="E69">
            <v>0</v>
          </cell>
          <cell r="F69">
            <v>0</v>
          </cell>
          <cell r="G69">
            <v>500</v>
          </cell>
          <cell r="H69">
            <v>500</v>
          </cell>
          <cell r="I69">
            <v>550</v>
          </cell>
          <cell r="J69">
            <v>500</v>
          </cell>
          <cell r="K69">
            <v>425</v>
          </cell>
          <cell r="L69">
            <v>0</v>
          </cell>
          <cell r="M69">
            <v>0</v>
          </cell>
          <cell r="N69">
            <v>0</v>
          </cell>
          <cell r="O69">
            <v>0</v>
          </cell>
        </row>
      </sheetData>
      <sheetData sheetId="2" refreshError="1"/>
      <sheetData sheetId="3" refreshError="1"/>
      <sheetData sheetId="4" refreshError="1"/>
      <sheetData sheetId="5" refreshError="1">
        <row r="68">
          <cell r="B68" t="str">
            <v>CKD-Kit  FOB E 200 K</v>
          </cell>
          <cell r="E68">
            <v>23894.423360089648</v>
          </cell>
          <cell r="F68">
            <v>24258.180067435173</v>
          </cell>
          <cell r="G68">
            <v>24670.569128581563</v>
          </cell>
          <cell r="H68">
            <v>25089.96880376745</v>
          </cell>
          <cell r="I68">
            <v>25516.498273431491</v>
          </cell>
          <cell r="J68">
            <v>25950.278744079817</v>
          </cell>
          <cell r="K68">
            <v>26391.433482729175</v>
          </cell>
        </row>
        <row r="91">
          <cell r="B91" t="str">
            <v>Total cost CKD-kit E 200 K CKD</v>
          </cell>
          <cell r="C91" t="str">
            <v>(IRR)</v>
          </cell>
          <cell r="E91">
            <v>508430502.78486085</v>
          </cell>
          <cell r="F91">
            <v>564889853.87673211</v>
          </cell>
          <cell r="G91">
            <v>629091313.87636292</v>
          </cell>
          <cell r="H91">
            <v>691586792.8973012</v>
          </cell>
          <cell r="I91">
            <v>761000434.17742705</v>
          </cell>
          <cell r="J91">
            <v>837632437.02193367</v>
          </cell>
          <cell r="K91">
            <v>921785567.94829786</v>
          </cell>
          <cell r="L91">
            <v>0</v>
          </cell>
          <cell r="M91">
            <v>0</v>
          </cell>
          <cell r="N91">
            <v>0</v>
          </cell>
          <cell r="O91">
            <v>0</v>
          </cell>
        </row>
        <row r="115">
          <cell r="B115" t="str">
            <v>Local content E 200 K CKD</v>
          </cell>
          <cell r="C115" t="str">
            <v>(IRR)</v>
          </cell>
          <cell r="E115">
            <v>97446463.062729612</v>
          </cell>
          <cell r="F115">
            <v>106376596.78415196</v>
          </cell>
          <cell r="G115">
            <v>116142255.90067795</v>
          </cell>
          <cell r="H115">
            <v>126821913.37747724</v>
          </cell>
          <cell r="I115">
            <v>138501417.50927198</v>
          </cell>
          <cell r="J115">
            <v>151274685.18211874</v>
          </cell>
          <cell r="K115">
            <v>165244460.30147165</v>
          </cell>
          <cell r="L115">
            <v>0</v>
          </cell>
          <cell r="M115">
            <v>0</v>
          </cell>
          <cell r="N115">
            <v>0</v>
          </cell>
          <cell r="O115">
            <v>0</v>
          </cell>
        </row>
        <row r="135">
          <cell r="B135" t="str">
            <v>CKD Kit + Local Content total E 200 CKD</v>
          </cell>
          <cell r="E135">
            <v>612399167.73677862</v>
          </cell>
          <cell r="F135">
            <v>678775855.63057613</v>
          </cell>
          <cell r="G135">
            <v>753887855.8942064</v>
          </cell>
          <cell r="H135">
            <v>828640181.18529069</v>
          </cell>
          <cell r="I135">
            <v>911604117.86684513</v>
          </cell>
          <cell r="J135">
            <v>1003229075.3859671</v>
          </cell>
          <cell r="K135">
            <v>1103986337.4892185</v>
          </cell>
          <cell r="L135">
            <v>0</v>
          </cell>
          <cell r="M135">
            <v>0</v>
          </cell>
          <cell r="N135">
            <v>0</v>
          </cell>
          <cell r="O135">
            <v>0</v>
          </cell>
        </row>
      </sheetData>
      <sheetData sheetId="6" refreshError="1">
        <row r="8">
          <cell r="B8" t="str">
            <v>Price ex factory E 200 CKD</v>
          </cell>
          <cell r="E8">
            <v>706966250</v>
          </cell>
          <cell r="F8">
            <v>784732537.50000012</v>
          </cell>
          <cell r="G8">
            <v>871053116.62500012</v>
          </cell>
          <cell r="H8">
            <v>966868959.45375013</v>
          </cell>
          <cell r="I8">
            <v>1073224544.9936628</v>
          </cell>
          <cell r="J8">
            <v>1191279244.942966</v>
          </cell>
          <cell r="K8">
            <v>1322319961.8866923</v>
          </cell>
        </row>
      </sheetData>
      <sheetData sheetId="7" refreshError="1">
        <row r="68">
          <cell r="B68" t="str">
            <v>CKD-Kit  FOB E 320</v>
          </cell>
          <cell r="E68">
            <v>31864.389020469684</v>
          </cell>
          <cell r="F68">
            <v>32328.707419302056</v>
          </cell>
          <cell r="G68">
            <v>32878.295445430187</v>
          </cell>
          <cell r="H68">
            <v>33437.226468002496</v>
          </cell>
          <cell r="I68">
            <v>34005.65931795854</v>
          </cell>
          <cell r="J68">
            <v>34583.755526363828</v>
          </cell>
          <cell r="K68">
            <v>35171.679370312013</v>
          </cell>
        </row>
        <row r="91">
          <cell r="B91" t="str">
            <v>Total cost CKD-kit E 320 CKD</v>
          </cell>
          <cell r="C91" t="str">
            <v>(IRR)</v>
          </cell>
          <cell r="E91">
            <v>768005637.04228544</v>
          </cell>
          <cell r="F91">
            <v>856474926.2519747</v>
          </cell>
          <cell r="G91">
            <v>957983130.85673642</v>
          </cell>
          <cell r="H91">
            <v>1055710817.3258616</v>
          </cell>
          <cell r="I91">
            <v>1163111684.6858575</v>
          </cell>
          <cell r="J91">
            <v>1281123874.0990498</v>
          </cell>
          <cell r="K91">
            <v>1412387007.4401388</v>
          </cell>
          <cell r="L91">
            <v>0</v>
          </cell>
          <cell r="M91">
            <v>0</v>
          </cell>
          <cell r="N91">
            <v>0</v>
          </cell>
          <cell r="O91">
            <v>0</v>
          </cell>
        </row>
        <row r="115">
          <cell r="B115" t="str">
            <v>Local content E 320 CKD</v>
          </cell>
          <cell r="C115" t="str">
            <v>(IRR)</v>
          </cell>
          <cell r="E115">
            <v>128568019.47271752</v>
          </cell>
          <cell r="F115">
            <v>140423579.49667874</v>
          </cell>
          <cell r="G115">
            <v>153389654.98818225</v>
          </cell>
          <cell r="H115">
            <v>167570567.97920692</v>
          </cell>
          <cell r="I115">
            <v>183080445.64356428</v>
          </cell>
          <cell r="J115">
            <v>200044141.96103451</v>
          </cell>
          <cell r="K115">
            <v>218598246.01760551</v>
          </cell>
          <cell r="L115">
            <v>0</v>
          </cell>
          <cell r="M115">
            <v>0</v>
          </cell>
          <cell r="N115">
            <v>0</v>
          </cell>
          <cell r="O115">
            <v>0</v>
          </cell>
        </row>
        <row r="135">
          <cell r="B135" t="str">
            <v>CKD Kit + Local Content total E 320 CKD</v>
          </cell>
          <cell r="E135">
            <v>903189223.07342112</v>
          </cell>
          <cell r="F135">
            <v>1004510051.666483</v>
          </cell>
          <cell r="G135">
            <v>1120138814.1593468</v>
          </cell>
          <cell r="H135">
            <v>1233635106.1793859</v>
          </cell>
          <cell r="I135">
            <v>1358428133.5939708</v>
          </cell>
          <cell r="J135">
            <v>1495636277.6123357</v>
          </cell>
          <cell r="K135">
            <v>1648101624.0543418</v>
          </cell>
          <cell r="L135">
            <v>0</v>
          </cell>
          <cell r="M135">
            <v>0</v>
          </cell>
          <cell r="N135">
            <v>0</v>
          </cell>
          <cell r="O135">
            <v>0</v>
          </cell>
        </row>
      </sheetData>
      <sheetData sheetId="8" refreshError="1">
        <row r="8">
          <cell r="B8" t="str">
            <v>Price ex factory E 320 CKD</v>
          </cell>
          <cell r="E8">
            <v>1060449375</v>
          </cell>
          <cell r="F8">
            <v>1177098806.2500002</v>
          </cell>
          <cell r="G8">
            <v>1306579674.9375002</v>
          </cell>
          <cell r="H8">
            <v>1450303439.1806252</v>
          </cell>
          <cell r="I8">
            <v>1609836817.490494</v>
          </cell>
          <cell r="J8">
            <v>1786918867.4144487</v>
          </cell>
          <cell r="K8">
            <v>1983479942.8300383</v>
          </cell>
        </row>
      </sheetData>
      <sheetData sheetId="9" refreshError="1">
        <row r="68">
          <cell r="B68" t="str">
            <v>CKD-Kit  FOB E 300</v>
          </cell>
          <cell r="E68">
            <v>31864.389020469684</v>
          </cell>
          <cell r="F68">
            <v>32328.707419302056</v>
          </cell>
          <cell r="G68">
            <v>32878.295445430187</v>
          </cell>
          <cell r="H68">
            <v>33437.226468002496</v>
          </cell>
          <cell r="I68">
            <v>34005.65931795854</v>
          </cell>
          <cell r="J68">
            <v>34583.755526363828</v>
          </cell>
          <cell r="K68">
            <v>35171.679370312013</v>
          </cell>
        </row>
        <row r="91">
          <cell r="B91" t="str">
            <v>Total cost CKD-kit E 300 CKD</v>
          </cell>
          <cell r="C91" t="str">
            <v>(IRR)</v>
          </cell>
          <cell r="E91">
            <v>767913585.37434602</v>
          </cell>
          <cell r="F91">
            <v>856474926.2519747</v>
          </cell>
          <cell r="G91">
            <v>957983130.85673642</v>
          </cell>
          <cell r="H91">
            <v>1055710817.3258616</v>
          </cell>
          <cell r="I91">
            <v>1163111684.6858575</v>
          </cell>
          <cell r="J91">
            <v>1281123874.0990498</v>
          </cell>
          <cell r="K91">
            <v>1412387007.4401388</v>
          </cell>
          <cell r="L91">
            <v>0</v>
          </cell>
          <cell r="M91">
            <v>0</v>
          </cell>
          <cell r="N91">
            <v>0</v>
          </cell>
          <cell r="O91">
            <v>0</v>
          </cell>
        </row>
        <row r="115">
          <cell r="B115" t="str">
            <v>Local content E 300 CKD</v>
          </cell>
          <cell r="C115" t="str">
            <v>(IRR)</v>
          </cell>
          <cell r="E115">
            <v>128568019.47271752</v>
          </cell>
          <cell r="F115">
            <v>140423579.49667874</v>
          </cell>
          <cell r="G115">
            <v>153389654.98818225</v>
          </cell>
          <cell r="H115">
            <v>167570567.97920692</v>
          </cell>
          <cell r="I115">
            <v>183080445.64356428</v>
          </cell>
          <cell r="J115">
            <v>200044141.96103451</v>
          </cell>
          <cell r="K115">
            <v>218598246.01760551</v>
          </cell>
          <cell r="L115">
            <v>0</v>
          </cell>
          <cell r="M115">
            <v>0</v>
          </cell>
          <cell r="N115">
            <v>0</v>
          </cell>
          <cell r="O115">
            <v>0</v>
          </cell>
        </row>
        <row r="135">
          <cell r="B135" t="str">
            <v>CKD Kit + Local Content total E 300 CKD</v>
          </cell>
          <cell r="E135">
            <v>903097171.4054817</v>
          </cell>
          <cell r="F135">
            <v>1004510051.666483</v>
          </cell>
          <cell r="G135">
            <v>1120138814.1593468</v>
          </cell>
          <cell r="H135">
            <v>1233635106.1793859</v>
          </cell>
          <cell r="I135">
            <v>1358428133.5939708</v>
          </cell>
          <cell r="J135">
            <v>1495636277.6123357</v>
          </cell>
          <cell r="K135">
            <v>1648101624.0543418</v>
          </cell>
          <cell r="L135">
            <v>0</v>
          </cell>
          <cell r="M135">
            <v>0</v>
          </cell>
          <cell r="N135">
            <v>0</v>
          </cell>
          <cell r="O135">
            <v>0</v>
          </cell>
        </row>
      </sheetData>
      <sheetData sheetId="10" refreshError="1">
        <row r="8">
          <cell r="B8" t="str">
            <v>Price ex factory E 300 CKD</v>
          </cell>
          <cell r="E8">
            <v>1060449375</v>
          </cell>
          <cell r="F8">
            <v>1177098806.2500002</v>
          </cell>
          <cell r="G8">
            <v>1306579674.9375002</v>
          </cell>
          <cell r="H8">
            <v>1450303439.1806252</v>
          </cell>
          <cell r="I8">
            <v>1609836817.490494</v>
          </cell>
          <cell r="J8">
            <v>1786918867.4144487</v>
          </cell>
          <cell r="K8">
            <v>1983479942.8300383</v>
          </cell>
        </row>
      </sheetData>
      <sheetData sheetId="11" refreshError="1">
        <row r="68">
          <cell r="B68" t="str">
            <v>SKD-Kit  FOB E 200 K</v>
          </cell>
          <cell r="E68">
            <v>30497.662119000001</v>
          </cell>
          <cell r="F68">
            <v>30973.825178234998</v>
          </cell>
          <cell r="G68">
            <v>31500.380206264985</v>
          </cell>
          <cell r="H68">
            <v>32035.886669771488</v>
          </cell>
          <cell r="I68">
            <v>32580.496743157601</v>
          </cell>
          <cell r="J68">
            <v>33134.365187791263</v>
          </cell>
          <cell r="K68">
            <v>33697.64939598371</v>
          </cell>
        </row>
        <row r="91">
          <cell r="B91" t="str">
            <v>Total cost SKD-kit E 200 K SKD</v>
          </cell>
          <cell r="C91" t="str">
            <v>(IRR)</v>
          </cell>
          <cell r="E91">
            <v>715831306.66255248</v>
          </cell>
          <cell r="F91">
            <v>797696696.61361289</v>
          </cell>
          <cell r="G91">
            <v>892536626.45525265</v>
          </cell>
          <cell r="H91">
            <v>982819474.26134992</v>
          </cell>
          <cell r="I91">
            <v>1082353022.4020572</v>
          </cell>
          <cell r="J91">
            <v>1192983437.0589392</v>
          </cell>
          <cell r="K91">
            <v>1314578023.0273616</v>
          </cell>
          <cell r="L91">
            <v>0</v>
          </cell>
          <cell r="M91">
            <v>0</v>
          </cell>
          <cell r="N91">
            <v>0</v>
          </cell>
          <cell r="O91">
            <v>0</v>
          </cell>
        </row>
        <row r="115">
          <cell r="B115" t="str">
            <v>Local content E 200 K SKD</v>
          </cell>
          <cell r="C115" t="str">
            <v>(IRR)</v>
          </cell>
          <cell r="E115">
            <v>0</v>
          </cell>
          <cell r="F115">
            <v>0</v>
          </cell>
          <cell r="G115">
            <v>0</v>
          </cell>
          <cell r="H115">
            <v>0</v>
          </cell>
          <cell r="I115">
            <v>0</v>
          </cell>
          <cell r="J115">
            <v>0</v>
          </cell>
          <cell r="K115">
            <v>0</v>
          </cell>
          <cell r="L115">
            <v>0</v>
          </cell>
          <cell r="M115">
            <v>0</v>
          </cell>
          <cell r="N115">
            <v>0</v>
          </cell>
          <cell r="O115">
            <v>0</v>
          </cell>
        </row>
        <row r="135">
          <cell r="B135" t="str">
            <v>SKD Kit + Local Content total E 200 K SKD</v>
          </cell>
          <cell r="E135">
            <v>716413514.16255248</v>
          </cell>
          <cell r="F135">
            <v>798342946.93861294</v>
          </cell>
          <cell r="G135">
            <v>893253964.31600261</v>
          </cell>
          <cell r="H135">
            <v>983615719.28678238</v>
          </cell>
          <cell r="I135">
            <v>1083236854.3802872</v>
          </cell>
          <cell r="J135">
            <v>1193964490.5547745</v>
          </cell>
          <cell r="K135">
            <v>1315666992.4077389</v>
          </cell>
          <cell r="L135">
            <v>0</v>
          </cell>
          <cell r="M135">
            <v>0</v>
          </cell>
          <cell r="N135">
            <v>0</v>
          </cell>
          <cell r="O135">
            <v>0</v>
          </cell>
        </row>
      </sheetData>
      <sheetData sheetId="12" refreshError="1">
        <row r="8">
          <cell r="B8" t="str">
            <v>Price ex factory E 200 K SKD</v>
          </cell>
          <cell r="E8">
            <v>777662875</v>
          </cell>
          <cell r="F8">
            <v>863205791.25000012</v>
          </cell>
          <cell r="G8">
            <v>958158428.28750014</v>
          </cell>
          <cell r="H8">
            <v>1063555855.3991251</v>
          </cell>
          <cell r="I8">
            <v>1180546999.4930291</v>
          </cell>
          <cell r="J8">
            <v>1310407169.4372623</v>
          </cell>
          <cell r="K8">
            <v>1454551958.0753613</v>
          </cell>
        </row>
      </sheetData>
      <sheetData sheetId="13" refreshError="1">
        <row r="68">
          <cell r="B68" t="str">
            <v>SKD-Kit  FOB E 320</v>
          </cell>
          <cell r="E68">
            <v>39876.519450899999</v>
          </cell>
          <cell r="F68">
            <v>40477.319847854989</v>
          </cell>
          <cell r="G68">
            <v>41165.434285268522</v>
          </cell>
          <cell r="H68">
            <v>41865.246668118081</v>
          </cell>
          <cell r="I68">
            <v>42576.955861476083</v>
          </cell>
          <cell r="J68">
            <v>43300.764111121171</v>
          </cell>
          <cell r="K68">
            <v>44036.877101010228</v>
          </cell>
        </row>
        <row r="91">
          <cell r="B91" t="str">
            <v>Total cost SKD-kit E 320 SKD</v>
          </cell>
          <cell r="C91" t="str">
            <v>(IRR)</v>
          </cell>
          <cell r="E91">
            <v>1077705737.054961</v>
          </cell>
          <cell r="F91">
            <v>1205388880.7875631</v>
          </cell>
          <cell r="G91">
            <v>1353073603.7106147</v>
          </cell>
          <cell r="H91">
            <v>1491853804.4049647</v>
          </cell>
          <cell r="I91">
            <v>1646208043.1469259</v>
          </cell>
          <cell r="J91">
            <v>1816224029.6707294</v>
          </cell>
          <cell r="K91">
            <v>2003202124.4108794</v>
          </cell>
          <cell r="L91">
            <v>0</v>
          </cell>
          <cell r="M91">
            <v>0</v>
          </cell>
          <cell r="N91">
            <v>0</v>
          </cell>
          <cell r="O91">
            <v>0</v>
          </cell>
        </row>
        <row r="115">
          <cell r="B115" t="str">
            <v>Local content E 320 SKD</v>
          </cell>
          <cell r="C115" t="str">
            <v>(IRR)</v>
          </cell>
          <cell r="E115">
            <v>0</v>
          </cell>
          <cell r="F115">
            <v>0</v>
          </cell>
          <cell r="G115">
            <v>0</v>
          </cell>
          <cell r="H115">
            <v>0</v>
          </cell>
          <cell r="I115">
            <v>0</v>
          </cell>
          <cell r="J115">
            <v>0</v>
          </cell>
          <cell r="K115">
            <v>0</v>
          </cell>
          <cell r="L115">
            <v>0</v>
          </cell>
          <cell r="M115">
            <v>0</v>
          </cell>
          <cell r="N115">
            <v>0</v>
          </cell>
          <cell r="O115">
            <v>0</v>
          </cell>
        </row>
        <row r="135">
          <cell r="B135" t="str">
            <v>CKD Kit + Local Content total E 320 SKD</v>
          </cell>
          <cell r="E135">
            <v>1078287944.554961</v>
          </cell>
          <cell r="F135">
            <v>1206035131.1125631</v>
          </cell>
          <cell r="G135">
            <v>1353790941.5713646</v>
          </cell>
          <cell r="H135">
            <v>1492650049.4303973</v>
          </cell>
          <cell r="I135">
            <v>1647091875.1251559</v>
          </cell>
          <cell r="J135">
            <v>1817205083.1665647</v>
          </cell>
          <cell r="K135">
            <v>2004291093.7912567</v>
          </cell>
          <cell r="L135">
            <v>0</v>
          </cell>
          <cell r="M135">
            <v>0</v>
          </cell>
          <cell r="N135">
            <v>0</v>
          </cell>
          <cell r="O135">
            <v>0</v>
          </cell>
        </row>
      </sheetData>
      <sheetData sheetId="14" refreshError="1">
        <row r="8">
          <cell r="B8" t="str">
            <v>Price ex factory E 320 SKD</v>
          </cell>
          <cell r="E8">
            <v>1237190937.5</v>
          </cell>
          <cell r="F8">
            <v>1373281940.6250002</v>
          </cell>
          <cell r="G8">
            <v>1524342954.0937502</v>
          </cell>
          <cell r="H8">
            <v>1692020679.0440629</v>
          </cell>
          <cell r="I8">
            <v>1878142953.7389102</v>
          </cell>
          <cell r="J8">
            <v>2084738678.6501904</v>
          </cell>
          <cell r="K8">
            <v>2314059933.3017111</v>
          </cell>
        </row>
      </sheetData>
      <sheetData sheetId="15" refreshError="1">
        <row r="68">
          <cell r="B68" t="str">
            <v>SKD-Kit  FOB S 350 L</v>
          </cell>
          <cell r="E68">
            <v>56344.6832574</v>
          </cell>
          <cell r="F68">
            <v>57234.867357914991</v>
          </cell>
          <cell r="G68">
            <v>58207.860102999541</v>
          </cell>
          <cell r="H68">
            <v>59197.393724750531</v>
          </cell>
          <cell r="I68">
            <v>60203.749418071275</v>
          </cell>
          <cell r="J68">
            <v>61227.213158178478</v>
          </cell>
          <cell r="K68">
            <v>62268.075781867497</v>
          </cell>
        </row>
        <row r="91">
          <cell r="B91" t="str">
            <v>Total cost SKD-kit S 350 L SKD</v>
          </cell>
          <cell r="C91" t="str">
            <v>(IRR)</v>
          </cell>
          <cell r="E91">
            <v>1891731506.3732924</v>
          </cell>
          <cell r="F91">
            <v>2127246578.8002806</v>
          </cell>
          <cell r="G91">
            <v>2396830194.8101616</v>
          </cell>
          <cell r="H91">
            <v>2647899142.2638516</v>
          </cell>
          <cell r="I91">
            <v>2925223459.6723533</v>
          </cell>
          <cell r="J91">
            <v>3231473199.5226817</v>
          </cell>
          <cell r="K91">
            <v>3570812081.5726624</v>
          </cell>
          <cell r="L91">
            <v>0</v>
          </cell>
          <cell r="M91">
            <v>0</v>
          </cell>
          <cell r="N91">
            <v>0</v>
          </cell>
          <cell r="O91">
            <v>0</v>
          </cell>
        </row>
        <row r="115">
          <cell r="B115" t="str">
            <v>Local content S 350 L SKD</v>
          </cell>
          <cell r="C115" t="str">
            <v>(IRR)</v>
          </cell>
          <cell r="E115">
            <v>0</v>
          </cell>
          <cell r="F115">
            <v>0</v>
          </cell>
          <cell r="G115">
            <v>0</v>
          </cell>
          <cell r="H115">
            <v>0</v>
          </cell>
          <cell r="I115">
            <v>0</v>
          </cell>
          <cell r="J115">
            <v>0</v>
          </cell>
          <cell r="K115">
            <v>0</v>
          </cell>
          <cell r="L115">
            <v>0</v>
          </cell>
          <cell r="M115">
            <v>0</v>
          </cell>
          <cell r="N115">
            <v>0</v>
          </cell>
          <cell r="O115">
            <v>0</v>
          </cell>
        </row>
        <row r="135">
          <cell r="B135" t="str">
            <v>CKD Kit + Local Content total S 350 L SKD</v>
          </cell>
          <cell r="E135">
            <v>1892480058.8732924</v>
          </cell>
          <cell r="F135">
            <v>2128077472.0752807</v>
          </cell>
          <cell r="G135">
            <v>2397752486.3454118</v>
          </cell>
          <cell r="H135">
            <v>2648922885.867979</v>
          </cell>
          <cell r="I135">
            <v>2926359815.0729346</v>
          </cell>
          <cell r="J135">
            <v>3232734554.0173273</v>
          </cell>
          <cell r="K135">
            <v>3572212185.0617189</v>
          </cell>
          <cell r="L135">
            <v>0</v>
          </cell>
          <cell r="M135">
            <v>0</v>
          </cell>
          <cell r="N135">
            <v>0</v>
          </cell>
          <cell r="O135">
            <v>0</v>
          </cell>
        </row>
      </sheetData>
      <sheetData sheetId="16" refreshError="1">
        <row r="8">
          <cell r="B8" t="str">
            <v>Price ex factory S 350 L SKD</v>
          </cell>
          <cell r="E8">
            <v>2262292000</v>
          </cell>
          <cell r="F8">
            <v>2511144120.0000005</v>
          </cell>
          <cell r="G8">
            <v>2787369973.2000003</v>
          </cell>
          <cell r="H8">
            <v>3093980670.2520008</v>
          </cell>
          <cell r="I8">
            <v>3434318543.9797211</v>
          </cell>
          <cell r="J8">
            <v>3812093583.8174906</v>
          </cell>
          <cell r="K8">
            <v>4231423878.0374155</v>
          </cell>
        </row>
      </sheetData>
      <sheetData sheetId="17" refreshError="1"/>
      <sheetData sheetId="18" refreshError="1"/>
      <sheetData sheetId="19" refreshError="1"/>
      <sheetData sheetId="20" refreshError="1"/>
      <sheetData sheetId="21" refreshError="1"/>
      <sheetData sheetId="22" refreshError="1"/>
      <sheetData sheetId="23" refreshError="1"/>
      <sheetData sheetId="24" refreshError="1">
        <row r="15">
          <cell r="B15" t="str">
            <v>Total revenue from saIes of vehicles</v>
          </cell>
          <cell r="E15">
            <v>586781987500</v>
          </cell>
          <cell r="F15">
            <v>784732537500.00012</v>
          </cell>
          <cell r="G15">
            <v>1959869512406.2505</v>
          </cell>
          <cell r="H15">
            <v>2175455158770.938</v>
          </cell>
          <cell r="I15">
            <v>2763553203358.6816</v>
          </cell>
          <cell r="J15">
            <v>2680378301121.6733</v>
          </cell>
          <cell r="K15">
            <v>2528936927108.2988</v>
          </cell>
          <cell r="L15">
            <v>0</v>
          </cell>
          <cell r="M15">
            <v>0</v>
          </cell>
          <cell r="N15">
            <v>0</v>
          </cell>
          <cell r="O15">
            <v>0</v>
          </cell>
        </row>
      </sheetData>
      <sheetData sheetId="25"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mployment Costs"/>
      <sheetName val="Employment Costs Canton"/>
      <sheetName val="Domestic Employment"/>
      <sheetName val="Fringes per Employee"/>
      <sheetName val="Fringes Worksheet December 00"/>
      <sheetName val="Fringe Benefits -Staff Pkg."/>
    </sheetNames>
    <sheetDataSet>
      <sheetData sheetId="0" refreshError="1"/>
      <sheetData sheetId="1" refreshError="1"/>
      <sheetData sheetId="2" refreshError="1"/>
      <sheetData sheetId="3" refreshError="1"/>
      <sheetData sheetId="4" refreshError="1"/>
      <sheetData sheetId="5"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AB Base Data"/>
      <sheetName val="FOK History Base"/>
      <sheetName val="Actuals"/>
      <sheetName val="Final OK"/>
      <sheetName val="Offline New"/>
      <sheetName val="OL inventory walk"/>
      <sheetName val="Program Change"/>
      <sheetName val="PLUS Target"/>
    </sheetNames>
    <sheetDataSet>
      <sheetData sheetId="0">
        <row r="4">
          <cell r="A4" t="str">
            <v>February</v>
          </cell>
          <cell r="B4">
            <v>2019</v>
          </cell>
          <cell r="C4" t="str">
            <v>03/19A</v>
          </cell>
          <cell r="D4">
            <v>43530</v>
          </cell>
        </row>
        <row r="7">
          <cell r="A7">
            <v>2</v>
          </cell>
          <cell r="C7" t="str">
            <v>02/19B</v>
          </cell>
          <cell r="D7">
            <v>43516</v>
          </cell>
        </row>
      </sheetData>
      <sheetData sheetId="1">
        <row r="1">
          <cell r="A1" t="str">
            <v>GOP</v>
          </cell>
          <cell r="B1" t="str">
            <v>Model</v>
          </cell>
          <cell r="C1" t="str">
            <v>January</v>
          </cell>
          <cell r="D1" t="str">
            <v>February</v>
          </cell>
          <cell r="E1" t="str">
            <v>March</v>
          </cell>
          <cell r="F1" t="str">
            <v>April</v>
          </cell>
          <cell r="G1" t="str">
            <v>May</v>
          </cell>
          <cell r="H1" t="str">
            <v>June</v>
          </cell>
          <cell r="I1" t="str">
            <v>July</v>
          </cell>
          <cell r="J1" t="str">
            <v>August</v>
          </cell>
          <cell r="K1" t="str">
            <v>September</v>
          </cell>
          <cell r="L1" t="str">
            <v>October</v>
          </cell>
          <cell r="M1" t="str">
            <v>November</v>
          </cell>
          <cell r="N1" t="str">
            <v>December</v>
          </cell>
          <cell r="O1" t="str">
            <v>Total</v>
          </cell>
        </row>
        <row r="2">
          <cell r="A2" t="str">
            <v>12/18A</v>
          </cell>
          <cell r="B2" t="str">
            <v>V167-H1</v>
          </cell>
        </row>
        <row r="3">
          <cell r="A3" t="str">
            <v>12/18A</v>
          </cell>
          <cell r="B3" t="str">
            <v>W205</v>
          </cell>
        </row>
        <row r="4">
          <cell r="A4" t="str">
            <v>12/18A</v>
          </cell>
          <cell r="B4" t="str">
            <v>C167</v>
          </cell>
        </row>
        <row r="5">
          <cell r="A5" t="str">
            <v>12/18A</v>
          </cell>
          <cell r="B5" t="str">
            <v>C292</v>
          </cell>
        </row>
        <row r="6">
          <cell r="A6" t="str">
            <v>12/18A</v>
          </cell>
          <cell r="B6" t="str">
            <v>V167-H2</v>
          </cell>
        </row>
        <row r="7">
          <cell r="A7" t="str">
            <v>12/18A</v>
          </cell>
          <cell r="B7" t="str">
            <v>W166</v>
          </cell>
        </row>
        <row r="8">
          <cell r="A8" t="str">
            <v>12/18A</v>
          </cell>
          <cell r="B8" t="str">
            <v>X166</v>
          </cell>
        </row>
        <row r="9">
          <cell r="A9" t="str">
            <v>12/18A</v>
          </cell>
          <cell r="B9" t="str">
            <v>X167</v>
          </cell>
        </row>
        <row r="10">
          <cell r="A10" t="str">
            <v>12/18A</v>
          </cell>
          <cell r="B10" t="str">
            <v>C167 Null</v>
          </cell>
        </row>
        <row r="11">
          <cell r="A11" t="str">
            <v>12/18A</v>
          </cell>
          <cell r="B11" t="str">
            <v>V167 Null</v>
          </cell>
        </row>
        <row r="12">
          <cell r="A12" t="str">
            <v>12/18A</v>
          </cell>
          <cell r="B12" t="str">
            <v>X167 Null</v>
          </cell>
        </row>
        <row r="13">
          <cell r="A13" t="str">
            <v>12/18A</v>
          </cell>
          <cell r="B13" t="str">
            <v>V167</v>
          </cell>
        </row>
        <row r="14">
          <cell r="A14" t="str">
            <v>01/19A</v>
          </cell>
          <cell r="B14" t="str">
            <v>V167-H1</v>
          </cell>
        </row>
        <row r="15">
          <cell r="A15" t="str">
            <v>01/19A</v>
          </cell>
          <cell r="B15" t="str">
            <v>W205</v>
          </cell>
        </row>
        <row r="16">
          <cell r="A16" t="str">
            <v>01/19A</v>
          </cell>
          <cell r="B16" t="str">
            <v>C167</v>
          </cell>
        </row>
        <row r="17">
          <cell r="A17" t="str">
            <v>01/19A</v>
          </cell>
          <cell r="B17" t="str">
            <v>C292</v>
          </cell>
        </row>
        <row r="18">
          <cell r="A18" t="str">
            <v>01/19A</v>
          </cell>
          <cell r="B18" t="str">
            <v>V167-H2</v>
          </cell>
        </row>
        <row r="19">
          <cell r="A19" t="str">
            <v>01/19A</v>
          </cell>
          <cell r="B19" t="str">
            <v>W166</v>
          </cell>
        </row>
        <row r="20">
          <cell r="A20" t="str">
            <v>01/19A</v>
          </cell>
          <cell r="B20" t="str">
            <v>X166</v>
          </cell>
        </row>
        <row r="21">
          <cell r="A21" t="str">
            <v>01/19A</v>
          </cell>
          <cell r="B21" t="str">
            <v>X167</v>
          </cell>
        </row>
        <row r="22">
          <cell r="A22" t="str">
            <v>01/19A</v>
          </cell>
          <cell r="B22" t="str">
            <v>C167 Null</v>
          </cell>
        </row>
        <row r="23">
          <cell r="A23" t="str">
            <v>01/19A</v>
          </cell>
          <cell r="B23" t="str">
            <v>V167 Null</v>
          </cell>
        </row>
        <row r="24">
          <cell r="A24" t="str">
            <v>01/19A</v>
          </cell>
          <cell r="B24" t="str">
            <v>X167 Null</v>
          </cell>
        </row>
        <row r="25">
          <cell r="A25" t="str">
            <v>01/19A</v>
          </cell>
          <cell r="B25" t="str">
            <v>V167</v>
          </cell>
        </row>
        <row r="26">
          <cell r="A26" t="str">
            <v>02/19A</v>
          </cell>
          <cell r="B26" t="str">
            <v>V167-H1</v>
          </cell>
        </row>
        <row r="27">
          <cell r="A27" t="str">
            <v>02/19A</v>
          </cell>
          <cell r="B27" t="str">
            <v>W205</v>
          </cell>
        </row>
        <row r="28">
          <cell r="A28" t="str">
            <v>02/19A</v>
          </cell>
          <cell r="B28" t="str">
            <v>C167</v>
          </cell>
        </row>
        <row r="29">
          <cell r="A29" t="str">
            <v>02/19A</v>
          </cell>
          <cell r="B29" t="str">
            <v>C292</v>
          </cell>
        </row>
        <row r="30">
          <cell r="A30" t="str">
            <v>02/19A</v>
          </cell>
          <cell r="B30" t="str">
            <v>V167-H2</v>
          </cell>
        </row>
        <row r="31">
          <cell r="A31" t="str">
            <v>02/19A</v>
          </cell>
          <cell r="B31" t="str">
            <v>W166</v>
          </cell>
        </row>
        <row r="32">
          <cell r="A32" t="str">
            <v>02/19A</v>
          </cell>
          <cell r="B32" t="str">
            <v>X166</v>
          </cell>
        </row>
        <row r="33">
          <cell r="A33" t="str">
            <v>02/19A</v>
          </cell>
          <cell r="B33" t="str">
            <v>X167</v>
          </cell>
        </row>
        <row r="34">
          <cell r="A34" t="str">
            <v>02/19A</v>
          </cell>
          <cell r="B34" t="str">
            <v>C167 Null</v>
          </cell>
        </row>
        <row r="35">
          <cell r="A35" t="str">
            <v>02/19A</v>
          </cell>
          <cell r="B35" t="str">
            <v>V167 Null</v>
          </cell>
        </row>
        <row r="36">
          <cell r="A36" t="str">
            <v>02/19A</v>
          </cell>
          <cell r="B36" t="str">
            <v>X167 Null</v>
          </cell>
        </row>
        <row r="37">
          <cell r="A37" t="str">
            <v>02/19A</v>
          </cell>
          <cell r="B37" t="str">
            <v>V167</v>
          </cell>
        </row>
        <row r="38">
          <cell r="A38" t="str">
            <v>02/19B</v>
          </cell>
          <cell r="B38" t="str">
            <v>V167-H1</v>
          </cell>
        </row>
        <row r="39">
          <cell r="A39" t="str">
            <v>02/19B</v>
          </cell>
          <cell r="B39" t="str">
            <v>W205</v>
          </cell>
        </row>
        <row r="40">
          <cell r="A40" t="str">
            <v>02/19B</v>
          </cell>
          <cell r="B40" t="str">
            <v>C167</v>
          </cell>
        </row>
        <row r="41">
          <cell r="A41" t="str">
            <v>02/19B</v>
          </cell>
          <cell r="B41" t="str">
            <v>C292</v>
          </cell>
        </row>
        <row r="42">
          <cell r="A42" t="str">
            <v>02/19B</v>
          </cell>
          <cell r="B42" t="str">
            <v>V167-H2</v>
          </cell>
        </row>
        <row r="43">
          <cell r="A43" t="str">
            <v>02/19B</v>
          </cell>
          <cell r="B43" t="str">
            <v>W166</v>
          </cell>
        </row>
        <row r="44">
          <cell r="A44" t="str">
            <v>02/19B</v>
          </cell>
          <cell r="B44" t="str">
            <v>X166</v>
          </cell>
        </row>
        <row r="45">
          <cell r="A45" t="str">
            <v>02/19B</v>
          </cell>
          <cell r="B45" t="str">
            <v>X167</v>
          </cell>
        </row>
        <row r="46">
          <cell r="A46" t="str">
            <v>02/19B</v>
          </cell>
          <cell r="B46" t="str">
            <v>C167 Null</v>
          </cell>
        </row>
        <row r="47">
          <cell r="A47" t="str">
            <v>02/19B</v>
          </cell>
          <cell r="B47" t="str">
            <v>V167 Null</v>
          </cell>
        </row>
        <row r="48">
          <cell r="A48" t="str">
            <v>02/19B</v>
          </cell>
          <cell r="B48" t="str">
            <v>X167 Null</v>
          </cell>
        </row>
        <row r="49">
          <cell r="A49" t="str">
            <v>02/19B</v>
          </cell>
          <cell r="B49" t="str">
            <v>V167</v>
          </cell>
        </row>
        <row r="50">
          <cell r="A50" t="str">
            <v>03/19A</v>
          </cell>
          <cell r="B50" t="str">
            <v>V167-H1</v>
          </cell>
        </row>
        <row r="51">
          <cell r="A51" t="str">
            <v>03/19A</v>
          </cell>
          <cell r="B51" t="str">
            <v>W205</v>
          </cell>
        </row>
        <row r="52">
          <cell r="A52" t="str">
            <v>03/19A</v>
          </cell>
          <cell r="B52" t="str">
            <v>C167</v>
          </cell>
        </row>
        <row r="53">
          <cell r="A53" t="str">
            <v>03/19A</v>
          </cell>
          <cell r="B53" t="str">
            <v>C292</v>
          </cell>
        </row>
        <row r="54">
          <cell r="A54" t="str">
            <v>03/19A</v>
          </cell>
          <cell r="B54" t="str">
            <v>V167-H2</v>
          </cell>
        </row>
        <row r="55">
          <cell r="A55" t="str">
            <v>03/19A</v>
          </cell>
          <cell r="B55" t="str">
            <v>W166</v>
          </cell>
        </row>
        <row r="56">
          <cell r="A56" t="str">
            <v>03/19A</v>
          </cell>
          <cell r="B56" t="str">
            <v>X166</v>
          </cell>
        </row>
        <row r="57">
          <cell r="A57" t="str">
            <v>03/19A</v>
          </cell>
          <cell r="B57" t="str">
            <v>X167</v>
          </cell>
        </row>
        <row r="58">
          <cell r="A58" t="str">
            <v>03/19A</v>
          </cell>
          <cell r="B58" t="str">
            <v>C167 Null</v>
          </cell>
        </row>
        <row r="59">
          <cell r="A59" t="str">
            <v>03/19A</v>
          </cell>
          <cell r="B59" t="str">
            <v>V167 Null</v>
          </cell>
        </row>
        <row r="60">
          <cell r="A60" t="str">
            <v>03/19A</v>
          </cell>
          <cell r="B60" t="str">
            <v>X167 Null</v>
          </cell>
        </row>
        <row r="61">
          <cell r="A61" t="str">
            <v>03/19A</v>
          </cell>
          <cell r="B61" t="str">
            <v>V167</v>
          </cell>
        </row>
      </sheetData>
      <sheetData sheetId="2"/>
      <sheetData sheetId="3"/>
      <sheetData sheetId="4"/>
      <sheetData sheetId="5"/>
      <sheetData sheetId="6"/>
      <sheetData sheetId="7"/>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AS 87 - SERP Results"/>
      <sheetName val="FAS 106 - OPRBs Results"/>
      <sheetName val="FAS 106 Assumptions"/>
      <sheetName val="FAS 106 Projection"/>
      <sheetName val="SERP Projection"/>
      <sheetName val="Rets in Prj Period"/>
      <sheetName val="Data"/>
      <sheetName val="Expense"/>
      <sheetName val="Age 62"/>
      <sheetName val="Age 60 New Plan"/>
      <sheetName val="Annuity Factors"/>
    </sheetNames>
    <sheetDataSet>
      <sheetData sheetId="0">
        <row r="31">
          <cell r="C31">
            <v>0</v>
          </cell>
        </row>
      </sheetData>
      <sheetData sheetId="1" refreshError="1"/>
      <sheetData sheetId="2" refreshError="1"/>
      <sheetData sheetId="3" refreshError="1"/>
      <sheetData sheetId="4" refreshError="1"/>
      <sheetData sheetId="5" refreshError="1"/>
      <sheetData sheetId="6"/>
      <sheetData sheetId="7" refreshError="1"/>
      <sheetData sheetId="8"/>
      <sheetData sheetId="9"/>
      <sheetData sheetId="10"/>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Age 60 New Plan"/>
      <sheetName val="Expense Estimate"/>
      <sheetName val="Change in Expense"/>
      <sheetName val="Annuity Factors"/>
      <sheetName val="MercTargets"/>
      <sheetName val="MercSalary"/>
    </sheetNames>
    <sheetDataSet>
      <sheetData sheetId="0"/>
      <sheetData sheetId="1"/>
      <sheetData sheetId="2"/>
      <sheetData sheetId="3"/>
      <sheetData sheetId="4">
        <row r="31">
          <cell r="C31">
            <v>7.4999999999999997E-2</v>
          </cell>
        </row>
        <row r="32">
          <cell r="C32">
            <v>7.4999999999999997E-2</v>
          </cell>
        </row>
        <row r="35">
          <cell r="C35">
            <v>4.4999999999999998E-2</v>
          </cell>
        </row>
      </sheetData>
      <sheetData sheetId="5"/>
      <sheetData sheetId="6"/>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urotoolsXRates"/>
      <sheetName val="R0FU21.AKT_EUR"/>
      <sheetName val="Akustikmaßnahmen"/>
      <sheetName val="Arbeitspaket 1+2"/>
      <sheetName val="Arbeitspaket 3-6"/>
      <sheetName val="Sitze"/>
      <sheetName val="Zielpreise Dez. 98"/>
      <sheetName val="Ver.- neu"/>
    </sheetNames>
    <sheetDataSet>
      <sheetData sheetId="0" refreshError="1">
        <row r="7">
          <cell r="B7">
            <v>0.51129188119621849</v>
          </cell>
        </row>
      </sheetData>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164 US ML350"/>
      <sheetName val="SAP DATA Paste ML350"/>
      <sheetName val="W164 ROW ML350"/>
      <sheetName val="SAP DATA Paste ROW ML350"/>
      <sheetName val="W164 US ML500"/>
      <sheetName val="SAP DATA Paste ML500"/>
      <sheetName val="W164 ROW ML500"/>
      <sheetName val="SAP DATA Paste ROW ML500"/>
      <sheetName val="W164 ML320CDI"/>
      <sheetName val="SAP DATA Paste ROW ML320"/>
      <sheetName val="W164 ML270CDI"/>
      <sheetName val="SAP DATA Paste ROW ML270"/>
      <sheetName val="W164 AMG 63"/>
      <sheetName val="W164 AMG 63 Paste"/>
      <sheetName val="W164 AMG US 63"/>
      <sheetName val="W164 AMG US 63 Paste "/>
      <sheetName val="W164 AMG RWR 63 "/>
      <sheetName val="W164 AMG RWR 63 Paste"/>
      <sheetName val="Premisses"/>
      <sheetName val="T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row r="8">
          <cell r="D8">
            <v>0.43507542742205829</v>
          </cell>
        </row>
        <row r="11">
          <cell r="D11">
            <v>0.02</v>
          </cell>
        </row>
      </sheetData>
      <sheetData sheetId="19"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ummary for Assumtion"/>
      <sheetName val="Aug 24 BoD_Walk through"/>
      <sheetName val="Sheet3"/>
      <sheetName val="Premises Discussion"/>
      <sheetName val="Cover Sheet (DC)"/>
      <sheetName val="CG Support"/>
      <sheetName val="1. Cash Flow (RMB)"/>
      <sheetName val="1. Cash Flow"/>
      <sheetName val="2. Profit and Loss (RMB)"/>
      <sheetName val="2. Profit and Loss"/>
      <sheetName val="3. Net Assets_WC (Feasibility)"/>
      <sheetName val="3. Net Assets_WC (DC)"/>
      <sheetName val="4. Working Capital"/>
      <sheetName val="4a. WoC data"/>
      <sheetName val="4b. Delivery"/>
      <sheetName val="6. Total Revenue"/>
      <sheetName val="7. Total Variable Costs"/>
      <sheetName val="8. Financing Req"/>
      <sheetName val="Input 0_Macro_eco"/>
      <sheetName val="Input 1_Volume"/>
      <sheetName val="Input 2_Pricing"/>
      <sheetName val="Input 4_wages"/>
      <sheetName val="Input 5_CKD Type Calculation"/>
      <sheetName val="Kits"/>
      <sheetName val="Input 6_Invest "/>
      <sheetName val="Sheet2"/>
      <sheetName val="Inv Cal."/>
      <sheetName val="Depreciation Shedule"/>
      <sheetName val="Input 7_Overhead"/>
      <sheetName val="Selling Expense"/>
      <sheetName val="G&amp;A BBDCA Total"/>
      <sheetName val="Wholesale function"/>
      <sheetName val="Tax to Govermen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IR h"/>
      <sheetName val="Invest"/>
      <sheetName val="Overview"/>
      <sheetName val="ACT10_2 EA 11"/>
      <sheetName val="OP11_2 EA 11"/>
      <sheetName val="1 EA 11_2 EA 11"/>
      <sheetName val="2 EA 11_OP12"/>
      <sheetName val="OP12_OP13"/>
      <sheetName val="BU Split"/>
    </sheetNames>
    <sheetDataSet>
      <sheetData sheetId="0"/>
      <sheetData sheetId="1"/>
      <sheetData sheetId="2"/>
      <sheetData sheetId="3"/>
      <sheetData sheetId="4"/>
      <sheetData sheetId="5"/>
      <sheetData sheetId="6"/>
      <sheetData sheetId="7"/>
      <sheetData sheetId="8"/>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AB base data"/>
      <sheetName val="FOK History Base"/>
      <sheetName val="actuals"/>
      <sheetName val="Final OK"/>
      <sheetName val="offline new"/>
      <sheetName val="Program Change"/>
      <sheetName val="PLUS target"/>
    </sheetNames>
    <sheetDataSet>
      <sheetData sheetId="0">
        <row r="6">
          <cell r="C6">
            <v>2017</v>
          </cell>
        </row>
      </sheetData>
      <sheetData sheetId="1" refreshError="1"/>
      <sheetData sheetId="2" refreshError="1"/>
      <sheetData sheetId="3" refreshError="1"/>
      <sheetData sheetId="4" refreshError="1"/>
      <sheetData sheetId="5" refreshError="1"/>
      <sheetData sheetId="6"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n Project Summary"/>
      <sheetName val="Project Summary"/>
      <sheetName val="Budget Summary_Present 14Jun"/>
      <sheetName val="ITM"/>
      <sheetName val="ND"/>
      <sheetName val="smart"/>
      <sheetName val="MAYBACH"/>
      <sheetName val="Maybach-CAS"/>
      <sheetName val="smart-CAS"/>
      <sheetName val="50120000"/>
      <sheetName val="50122100"/>
      <sheetName val="50522203"/>
      <sheetName val="50125200"/>
      <sheetName val="50125200 Homologation"/>
      <sheetName val="50522200"/>
      <sheetName val="5012530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T"/>
      <sheetName val="Budget deutsch"/>
      <sheetName val="RetrieveBudget_en"/>
      <sheetName val="Budget english"/>
      <sheetName val="Budget process view"/>
      <sheetName val="RetrieveInvest"/>
      <sheetName val="RetrieveBudget"/>
      <sheetName val="Tabelle2"/>
      <sheetName val="Investment EUR"/>
      <sheetName val="Investment"/>
      <sheetName val="Projects+SLA EUR"/>
      <sheetName val="Projects+SLA"/>
    </sheetNames>
    <sheetDataSet>
      <sheetData sheetId="0" refreshError="1"/>
      <sheetData sheetId="1" refreshError="1"/>
      <sheetData sheetId="2" refreshError="1"/>
      <sheetData sheetId="3" refreshError="1">
        <row r="44">
          <cell r="C44">
            <v>7.8</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B_ERGEBNIS"/>
      <sheetName val="Beschlussliste"/>
      <sheetName val="STAMMDATEN"/>
    </sheetNames>
    <sheetDataSet>
      <sheetData sheetId="0" refreshError="1"/>
      <sheetData sheetId="1" refreshError="1"/>
      <sheetData sheetId="2" refreshError="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page"/>
      <sheetName val="Status"/>
      <sheetName val="Summary_EUR"/>
      <sheetName val="Summary"/>
      <sheetName val="P_General"/>
      <sheetName val="P_FC Param"/>
      <sheetName val="P_FX"/>
      <sheetName val="P_Conv Factor"/>
      <sheetName val="P_Inflation"/>
      <sheetName val="P_Variator"/>
      <sheetName val="P_Local"/>
      <sheetName val="P_Net rev"/>
      <sheetName val="P_Network"/>
      <sheetName val="P_Stock turn"/>
      <sheetName val="P_Space demand"/>
      <sheetName val="P_Total space"/>
      <sheetName val="P_Lines"/>
      <sheetName val="P_Outbound lines"/>
      <sheetName val="P_HR"/>
      <sheetName val="P_HC"/>
      <sheetName val="P_HC_Cal"/>
      <sheetName val="P_Freight rate"/>
      <sheetName val="P_SPM GL"/>
      <sheetName val="I_Leasehold"/>
      <sheetName val="I_WH Equip"/>
      <sheetName val="I_Furniture "/>
      <sheetName val="I_CI Signage "/>
      <sheetName val="IOR_ITI"/>
      <sheetName val="Assumptions for ITA "/>
      <sheetName val="IOR_ITA"/>
      <sheetName val="I_Invest Admin"/>
      <sheetName val="IOR_SPM"/>
      <sheetName val="IOR_SPM_Details"/>
      <sheetName val="O_CRE DRE"/>
      <sheetName val="O_LSW"/>
      <sheetName val="O_Move"/>
      <sheetName val="O_PMO"/>
      <sheetName val="R_Scrapping"/>
      <sheetName val="R_Inbound"/>
      <sheetName val="R_Outbound"/>
      <sheetName val="R_Inland"/>
      <sheetName val="R_Damage"/>
      <sheetName val="R_Rental Facility"/>
      <sheetName val="R_Maintenance"/>
      <sheetName val="R_WH Oper"/>
      <sheetName val="R_Prepackaging"/>
      <sheetName val="R_Packaging"/>
      <sheetName val="R_Personal"/>
      <sheetName val="R_HQ Oper"/>
      <sheetName val="R_GLC pers"/>
      <sheetName val="R_GLC space"/>
      <sheetName val="R_GLC other"/>
      <sheetName val="Act_Invest"/>
      <sheetName val="Act_Selling"/>
      <sheetName val="Act_OTC"/>
    </sheetNames>
    <sheetDataSet>
      <sheetData sheetId="0"/>
      <sheetData sheetId="1"/>
      <sheetData sheetId="2"/>
      <sheetData sheetId="3"/>
      <sheetData sheetId="4"/>
      <sheetData sheetId="5"/>
      <sheetData sheetId="6"/>
      <sheetData sheetId="7"/>
      <sheetData sheetId="8">
        <row r="14">
          <cell r="C14" t="str">
            <v>Head office</v>
          </cell>
        </row>
      </sheetData>
      <sheetData sheetId="9"/>
      <sheetData sheetId="10"/>
      <sheetData sheetId="11">
        <row r="5">
          <cell r="F5">
            <v>4947576807.4799042</v>
          </cell>
        </row>
        <row r="24">
          <cell r="C24" t="str">
            <v xml:space="preserve"> Net revenue per WH on 2011 prices</v>
          </cell>
          <cell r="D24" t="str">
            <v>Unit</v>
          </cell>
          <cell r="E24">
            <v>2012</v>
          </cell>
          <cell r="F24">
            <v>2013</v>
          </cell>
          <cell r="G24">
            <v>2014</v>
          </cell>
          <cell r="H24">
            <v>2015</v>
          </cell>
          <cell r="I24">
            <v>2016</v>
          </cell>
          <cell r="J24">
            <v>2017</v>
          </cell>
          <cell r="K24">
            <v>2018</v>
          </cell>
          <cell r="L24">
            <v>2019</v>
          </cell>
          <cell r="M24">
            <v>2020</v>
          </cell>
          <cell r="N24">
            <v>2021</v>
          </cell>
          <cell r="O24">
            <v>2022</v>
          </cell>
          <cell r="P24">
            <v>2023</v>
          </cell>
          <cell r="Q24">
            <v>2024</v>
          </cell>
        </row>
        <row r="25">
          <cell r="C25" t="str">
            <v>Beijing 1</v>
          </cell>
          <cell r="D25" t="str">
            <v>RMB</v>
          </cell>
          <cell r="E25">
            <v>1275700159.7825119</v>
          </cell>
          <cell r="F25">
            <v>1615635792.601728</v>
          </cell>
          <cell r="G25">
            <v>1726213065.4972875</v>
          </cell>
          <cell r="H25">
            <v>1996033301.1215053</v>
          </cell>
          <cell r="I25">
            <v>2435205613.289958</v>
          </cell>
          <cell r="J25">
            <v>2359193015.5947027</v>
          </cell>
          <cell r="K25">
            <v>2396119431.4909477</v>
          </cell>
          <cell r="L25">
            <v>2552338338.2807059</v>
          </cell>
          <cell r="M25">
            <v>2255757426.779191</v>
          </cell>
          <cell r="N25">
            <v>2263028469.7898388</v>
          </cell>
          <cell r="O25">
            <v>2256724979.0877481</v>
          </cell>
          <cell r="P25">
            <v>2180040087.6030316</v>
          </cell>
          <cell r="Q25">
            <v>2059193591.6074481</v>
          </cell>
        </row>
        <row r="26">
          <cell r="C26" t="str">
            <v>Beijing 2</v>
          </cell>
          <cell r="D26" t="str">
            <v>RMB</v>
          </cell>
          <cell r="E26">
            <v>0</v>
          </cell>
          <cell r="F26">
            <v>0</v>
          </cell>
          <cell r="G26">
            <v>0</v>
          </cell>
          <cell r="H26">
            <v>0</v>
          </cell>
          <cell r="I26">
            <v>0</v>
          </cell>
          <cell r="J26">
            <v>544429157.44493127</v>
          </cell>
          <cell r="K26">
            <v>895940309.16618025</v>
          </cell>
          <cell r="L26">
            <v>1170797402.8810577</v>
          </cell>
          <cell r="M26">
            <v>1990374200.0992861</v>
          </cell>
          <cell r="N26">
            <v>2409030306.5504732</v>
          </cell>
          <cell r="O26">
            <v>2901503544.5413899</v>
          </cell>
          <cell r="P26">
            <v>2720690029.3285832</v>
          </cell>
          <cell r="Q26">
            <v>3107510329.1530576</v>
          </cell>
        </row>
        <row r="27">
          <cell r="C27" t="str">
            <v>Shanghai BW</v>
          </cell>
          <cell r="D27" t="str">
            <v>RMB</v>
          </cell>
          <cell r="E27">
            <v>461448084.1967926</v>
          </cell>
          <cell r="F27">
            <v>556846774.99157286</v>
          </cell>
          <cell r="G27">
            <v>569400002.98700047</v>
          </cell>
          <cell r="H27">
            <v>632708254.75611782</v>
          </cell>
          <cell r="I27">
            <v>376851703.58221555</v>
          </cell>
          <cell r="J27">
            <v>544429157.44493127</v>
          </cell>
          <cell r="K27">
            <v>833432845.73598182</v>
          </cell>
          <cell r="L27">
            <v>1053717662.5929519</v>
          </cell>
          <cell r="M27">
            <v>0</v>
          </cell>
          <cell r="N27">
            <v>0</v>
          </cell>
          <cell r="O27">
            <v>0</v>
          </cell>
          <cell r="P27">
            <v>0</v>
          </cell>
          <cell r="Q27">
            <v>0</v>
          </cell>
        </row>
        <row r="28">
          <cell r="C28" t="str">
            <v>Shanghai KS</v>
          </cell>
          <cell r="D28" t="str">
            <v>RMB</v>
          </cell>
          <cell r="E28">
            <v>621001444.28605008</v>
          </cell>
          <cell r="F28">
            <v>764205134.20940888</v>
          </cell>
          <cell r="G28">
            <v>802817812.97432423</v>
          </cell>
          <cell r="H28">
            <v>913465196.50334287</v>
          </cell>
          <cell r="I28">
            <v>1477258678.0422847</v>
          </cell>
          <cell r="J28">
            <v>1724025665.2422826</v>
          </cell>
          <cell r="K28">
            <v>1875223902.9059589</v>
          </cell>
          <cell r="L28">
            <v>1990355584.8977983</v>
          </cell>
          <cell r="M28">
            <v>1724990973.4193814</v>
          </cell>
          <cell r="N28">
            <v>1679021122.7472997</v>
          </cell>
          <cell r="O28">
            <v>1531349092.9524004</v>
          </cell>
          <cell r="P28">
            <v>1395225656.0659404</v>
          </cell>
          <cell r="Q28">
            <v>1310395921.9320126</v>
          </cell>
        </row>
        <row r="29">
          <cell r="C29" t="str">
            <v>Hangzhou</v>
          </cell>
          <cell r="D29" t="str">
            <v>RMB</v>
          </cell>
          <cell r="E29">
            <v>0</v>
          </cell>
          <cell r="F29">
            <v>0</v>
          </cell>
          <cell r="G29">
            <v>0</v>
          </cell>
          <cell r="H29">
            <v>0</v>
          </cell>
          <cell r="I29">
            <v>0</v>
          </cell>
          <cell r="J29">
            <v>0</v>
          </cell>
          <cell r="K29">
            <v>0</v>
          </cell>
          <cell r="L29">
            <v>0</v>
          </cell>
          <cell r="M29">
            <v>1724990973.4193814</v>
          </cell>
          <cell r="N29">
            <v>2190027551.4095211</v>
          </cell>
          <cell r="O29">
            <v>1889201196.7791717</v>
          </cell>
          <cell r="P29">
            <v>2267241691.1071529</v>
          </cell>
          <cell r="Q29">
            <v>2807991261.2828836</v>
          </cell>
        </row>
        <row r="30">
          <cell r="C30" t="str">
            <v>Guangzhou 1</v>
          </cell>
          <cell r="D30" t="str">
            <v>RMB</v>
          </cell>
          <cell r="E30">
            <v>870077200.65193033</v>
          </cell>
          <cell r="F30">
            <v>1081482369.2790239</v>
          </cell>
          <cell r="G30">
            <v>1150293612.1069787</v>
          </cell>
          <cell r="H30">
            <v>1325235805.4475937</v>
          </cell>
          <cell r="I30">
            <v>1617040854.3282557</v>
          </cell>
          <cell r="J30">
            <v>2204606512.8470492</v>
          </cell>
          <cell r="K30">
            <v>2533005530.7428198</v>
          </cell>
          <cell r="L30">
            <v>2843560519.4210587</v>
          </cell>
          <cell r="M30">
            <v>3225726298.320375</v>
          </cell>
          <cell r="N30">
            <v>3549297145.3686833</v>
          </cell>
          <cell r="O30">
            <v>3504363215.86199</v>
          </cell>
          <cell r="P30">
            <v>3350276640.1677551</v>
          </cell>
          <cell r="Q30">
            <v>3601707166.7963452</v>
          </cell>
        </row>
        <row r="31">
          <cell r="C31" t="str">
            <v xml:space="preserve"> </v>
          </cell>
          <cell r="D31" t="str">
            <v>RMB</v>
          </cell>
          <cell r="E31">
            <v>0</v>
          </cell>
          <cell r="F31">
            <v>0</v>
          </cell>
          <cell r="G31">
            <v>0</v>
          </cell>
          <cell r="H31">
            <v>0</v>
          </cell>
          <cell r="I31">
            <v>0</v>
          </cell>
          <cell r="J31">
            <v>0</v>
          </cell>
          <cell r="K31">
            <v>0</v>
          </cell>
          <cell r="L31">
            <v>0</v>
          </cell>
          <cell r="M31">
            <v>0</v>
          </cell>
          <cell r="N31">
            <v>0</v>
          </cell>
          <cell r="O31">
            <v>0</v>
          </cell>
          <cell r="P31">
            <v>0</v>
          </cell>
          <cell r="Q31">
            <v>0</v>
          </cell>
        </row>
        <row r="32">
          <cell r="C32" t="str">
            <v>Yangzhou</v>
          </cell>
          <cell r="D32" t="str">
            <v>RMB</v>
          </cell>
          <cell r="E32">
            <v>256673218.60695216</v>
          </cell>
          <cell r="F32">
            <v>342565335.29327977</v>
          </cell>
          <cell r="G32">
            <v>383299683.77231222</v>
          </cell>
          <cell r="H32">
            <v>456789838.61774915</v>
          </cell>
          <cell r="I32">
            <v>572113515.76927006</v>
          </cell>
          <cell r="J32">
            <v>635167350.35241997</v>
          </cell>
          <cell r="K32">
            <v>625074634.30198634</v>
          </cell>
          <cell r="L32">
            <v>643938571.58458173</v>
          </cell>
          <cell r="M32">
            <v>663458066.69976211</v>
          </cell>
          <cell r="N32">
            <v>657008265.42285633</v>
          </cell>
          <cell r="O32">
            <v>693136957.86266541</v>
          </cell>
          <cell r="P32">
            <v>697612828.03297019</v>
          </cell>
          <cell r="Q32">
            <v>655197960.96600628</v>
          </cell>
        </row>
        <row r="33">
          <cell r="C33" t="str">
            <v>Chengdu 1</v>
          </cell>
          <cell r="D33" t="str">
            <v>RMB</v>
          </cell>
          <cell r="E33">
            <v>424390754.67932469</v>
          </cell>
          <cell r="F33">
            <v>586841401.10488963</v>
          </cell>
          <cell r="G33">
            <v>678427077.73100281</v>
          </cell>
          <cell r="H33">
            <v>829290472.62715793</v>
          </cell>
          <cell r="I33">
            <v>1058563706.6323265</v>
          </cell>
          <cell r="J33">
            <v>1061968431.8225381</v>
          </cell>
          <cell r="K33">
            <v>1259113917.3558967</v>
          </cell>
          <cell r="L33">
            <v>1453265949.1524227</v>
          </cell>
          <cell r="M33">
            <v>1683863395.2578633</v>
          </cell>
          <cell r="N33">
            <v>1852770814.7748029</v>
          </cell>
          <cell r="O33">
            <v>1876313912.8486545</v>
          </cell>
          <cell r="P33">
            <v>1969021173.5836399</v>
          </cell>
          <cell r="Q33">
            <v>1991811425.6791584</v>
          </cell>
        </row>
        <row r="34">
          <cell r="C34" t="str">
            <v xml:space="preserve"> </v>
          </cell>
          <cell r="D34" t="str">
            <v>RMB</v>
          </cell>
          <cell r="E34">
            <v>0</v>
          </cell>
          <cell r="F34">
            <v>0</v>
          </cell>
          <cell r="G34">
            <v>0</v>
          </cell>
          <cell r="H34">
            <v>0</v>
          </cell>
          <cell r="I34">
            <v>0</v>
          </cell>
          <cell r="J34">
            <v>0</v>
          </cell>
          <cell r="K34">
            <v>0</v>
          </cell>
          <cell r="L34">
            <v>0</v>
          </cell>
          <cell r="M34">
            <v>0</v>
          </cell>
          <cell r="N34">
            <v>0</v>
          </cell>
          <cell r="O34">
            <v>0</v>
          </cell>
          <cell r="P34">
            <v>0</v>
          </cell>
          <cell r="Q34">
            <v>0</v>
          </cell>
        </row>
        <row r="35">
          <cell r="C35" t="str">
            <v>Wuhan</v>
          </cell>
          <cell r="D35" t="str">
            <v>RMB</v>
          </cell>
          <cell r="E35">
            <v>0</v>
          </cell>
          <cell r="F35">
            <v>0</v>
          </cell>
          <cell r="G35">
            <v>0</v>
          </cell>
          <cell r="H35">
            <v>0</v>
          </cell>
          <cell r="I35">
            <v>0</v>
          </cell>
          <cell r="J35">
            <v>0</v>
          </cell>
          <cell r="K35">
            <v>0</v>
          </cell>
          <cell r="L35">
            <v>0</v>
          </cell>
          <cell r="M35">
            <v>0</v>
          </cell>
          <cell r="N35">
            <v>0</v>
          </cell>
          <cell r="O35">
            <v>1466871236.4070361</v>
          </cell>
          <cell r="P35">
            <v>2860212594.9351778</v>
          </cell>
          <cell r="Q35">
            <v>3186134084.4689784</v>
          </cell>
        </row>
        <row r="36">
          <cell r="C36" t="str">
            <v>…</v>
          </cell>
          <cell r="D36" t="str">
            <v>RMB</v>
          </cell>
          <cell r="E36">
            <v>0</v>
          </cell>
          <cell r="F36">
            <v>0</v>
          </cell>
          <cell r="G36">
            <v>0</v>
          </cell>
          <cell r="H36">
            <v>0</v>
          </cell>
          <cell r="I36">
            <v>0</v>
          </cell>
          <cell r="J36">
            <v>0</v>
          </cell>
          <cell r="K36">
            <v>0</v>
          </cell>
          <cell r="L36">
            <v>0</v>
          </cell>
          <cell r="M36">
            <v>0</v>
          </cell>
          <cell r="N36">
            <v>0</v>
          </cell>
          <cell r="O36">
            <v>0</v>
          </cell>
          <cell r="P36">
            <v>0</v>
          </cell>
          <cell r="Q36">
            <v>0</v>
          </cell>
        </row>
      </sheetData>
      <sheetData sheetId="12">
        <row r="4">
          <cell r="C4" t="str">
            <v>Beijing 1</v>
          </cell>
        </row>
        <row r="5">
          <cell r="C5" t="str">
            <v>Beijing 2</v>
          </cell>
        </row>
        <row r="6">
          <cell r="C6" t="str">
            <v>Shanghai BW</v>
          </cell>
        </row>
        <row r="7">
          <cell r="C7" t="str">
            <v>Shanghai KS</v>
          </cell>
        </row>
        <row r="8">
          <cell r="C8" t="str">
            <v>Hangzhou</v>
          </cell>
        </row>
        <row r="9">
          <cell r="C9" t="str">
            <v>Guangzhou 1</v>
          </cell>
        </row>
        <row r="10">
          <cell r="C10" t="str">
            <v xml:space="preserve"> </v>
          </cell>
        </row>
        <row r="11">
          <cell r="C11" t="str">
            <v>Yangzhou</v>
          </cell>
        </row>
        <row r="12">
          <cell r="C12" t="str">
            <v>Chengdu 1</v>
          </cell>
        </row>
        <row r="13">
          <cell r="C13" t="str">
            <v xml:space="preserve"> </v>
          </cell>
        </row>
        <row r="14">
          <cell r="C14" t="str">
            <v>Wuhan</v>
          </cell>
        </row>
        <row r="15">
          <cell r="C15" t="str">
            <v>…</v>
          </cell>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21">
          <cell r="H21">
            <v>2321171.875</v>
          </cell>
        </row>
      </sheetData>
      <sheetData sheetId="43"/>
      <sheetData sheetId="44"/>
      <sheetData sheetId="45"/>
      <sheetData sheetId="46"/>
      <sheetData sheetId="47"/>
      <sheetData sheetId="48"/>
      <sheetData sheetId="49"/>
      <sheetData sheetId="50"/>
      <sheetData sheetId="51"/>
      <sheetData sheetId="52"/>
      <sheetData sheetId="53"/>
      <sheetData sheetId="54"/>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 "/>
      <sheetName val="fill_right"/>
      <sheetName val="Input 7_Overhead"/>
    </sheetNames>
    <sheetDataSet>
      <sheetData sheetId="0" refreshError="1">
        <row r="2">
          <cell r="R2">
            <v>36442.128199999999</v>
          </cell>
        </row>
      </sheetData>
      <sheetData sheetId="1" refreshError="1"/>
      <sheetData sheetId="2" refreshError="1"/>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_Macro_oec"/>
      <sheetName val="2_Volumes (Sales &amp; production)"/>
      <sheetName val="3_Pricing"/>
      <sheetName val="4b_Workforce Wholesale_Retail"/>
      <sheetName val="5_Wages &amp; Salaries wholesale"/>
      <sheetName val="5a_Wages &amp; Salaries Retail"/>
      <sheetName val="7a_Gross Margin (E 200 K CKD) "/>
      <sheetName val="7b_Gross Margin (E 320 CKD)"/>
      <sheetName val="7c_Gross Margin (E 300 CKD)"/>
      <sheetName val="7d_Gross Margin (E 200 K SKD)"/>
      <sheetName val="7e_Gross Margin (E 320 SKD)"/>
      <sheetName val="7f_Gross Margin (S 350 L SKD)"/>
      <sheetName val="7g_Spare parts"/>
      <sheetName val="7h Workshop"/>
      <sheetName val="7i_Contributions Ret"/>
      <sheetName val="8a_Invest WS"/>
      <sheetName val="8b_Invest Ret"/>
      <sheetName val="9a_Fix Cost WS (Overh)"/>
      <sheetName val="9a_Fix Cost Ret (Overh)"/>
      <sheetName val="10a_Working_cap_WS"/>
      <sheetName val="10b_Working_cap_Ret"/>
      <sheetName val="11a_deprec_actg."/>
      <sheetName val="12_Cash_fl"/>
      <sheetName val="13_financ_res"/>
      <sheetName val="14a_Prof+Loss WS"/>
      <sheetName val="14b_Prof+Loss Ret"/>
      <sheetName val="14c_Prof+Loss consol."/>
      <sheetName val="15_Taxation"/>
      <sheetName val="16_Funding"/>
      <sheetName val="17_Balance_sh"/>
      <sheetName val="write up"/>
      <sheetName val="18_Capital_Employed  -Cash-Flow"/>
      <sheetName val="V CURRENCY_BALANCE"/>
      <sheetName val="V I._Betriebsergebnis"/>
      <sheetName val="I.b)_BE_E20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dG"/>
      <sheetName val="Sendebahn"/>
    </sheetNames>
    <sheetDataSet>
      <sheetData sheetId="0" refreshError="1"/>
      <sheetData sheetId="1"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änderung_Kennzahlen"/>
      <sheetName val="Veränderung_freieFläche"/>
      <sheetName val="Veränderung freier  Lagerorte"/>
      <sheetName val="Veränderung freie Pal_Fläche"/>
      <sheetName val="Zusammenfassung"/>
      <sheetName val="260"/>
      <sheetName val="261"/>
      <sheetName val="262"/>
      <sheetName val="263"/>
      <sheetName val="264"/>
      <sheetName val="tbl_Auslastung_Historie"/>
    </sheetNames>
    <sheetDataSet>
      <sheetData sheetId="0" refreshError="1"/>
      <sheetData sheetId="1" refreshError="1"/>
      <sheetData sheetId="2" refreshError="1"/>
      <sheetData sheetId="3" refreshError="1"/>
      <sheetData sheetId="4"/>
      <sheetData sheetId="5"/>
      <sheetData sheetId="6"/>
      <sheetData sheetId="7"/>
      <sheetData sheetId="8"/>
      <sheetData sheetId="9"/>
      <sheetData sheetId="10"/>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olumenentwicklung"/>
      <sheetName val="Lines"/>
      <sheetName val="Sortimentseinstieg"/>
      <sheetName val="Ziel-Lagerumschlag"/>
      <sheetName val="SKU"/>
      <sheetName val="SoH"/>
      <sheetName val="Flächen"/>
      <sheetName val="LC Hannover"/>
      <sheetName val="LC Köln"/>
      <sheetName val="LC Nürnberg"/>
      <sheetName val="LC Reutlingen"/>
      <sheetName val="LC Mainz"/>
      <sheetName val="Tabelle1"/>
      <sheetName val="Diagramm1"/>
      <sheetName val="ELC Etoile"/>
      <sheetName val="ELC Valenciennes"/>
      <sheetName val="ELC Miralcampo"/>
      <sheetName val="ELC Capena"/>
      <sheetName val="ELC Wetzikon"/>
      <sheetName val="ELC Milton Keynes"/>
      <sheetName val="ELC Warschau"/>
      <sheetName val="PDC Moskau"/>
      <sheetName val="USA"/>
      <sheetName val="RLC Singapur"/>
      <sheetName val="China"/>
      <sheetName val="Japan"/>
      <sheetName val="RLC Dubai"/>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efreshError="1"/>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QT"/>
      <sheetName val="IQT-Class"/>
      <sheetName val="IQT-Type"/>
      <sheetName val="P&amp;L"/>
      <sheetName val="Type"/>
      <sheetName val="Subs"/>
    </sheetNames>
    <sheetDataSet>
      <sheetData sheetId="0" refreshError="1"/>
      <sheetData sheetId="1" refreshError="1"/>
      <sheetData sheetId="2" refreshError="1">
        <row r="4">
          <cell r="C4" t="str">
            <v>Parts</v>
          </cell>
          <cell r="D4" t="str">
            <v>Service</v>
          </cell>
          <cell r="E4" t="str">
            <v>T 245</v>
          </cell>
          <cell r="F4" t="str">
            <v>A 209</v>
          </cell>
          <cell r="G4" t="str">
            <v>C 209</v>
          </cell>
          <cell r="H4" t="str">
            <v>CL 203</v>
          </cell>
          <cell r="I4" t="str">
            <v>R 171</v>
          </cell>
          <cell r="J4" t="str">
            <v>S 203</v>
          </cell>
          <cell r="K4" t="str">
            <v>W 203</v>
          </cell>
          <cell r="L4" t="str">
            <v>C 219</v>
          </cell>
          <cell r="M4" t="str">
            <v>S 211</v>
          </cell>
          <cell r="N4" t="str">
            <v>W 211</v>
          </cell>
          <cell r="O4" t="str">
            <v>463</v>
          </cell>
          <cell r="P4" t="str">
            <v>W 163</v>
          </cell>
          <cell r="Q4" t="str">
            <v>W 164</v>
          </cell>
          <cell r="R4" t="str">
            <v>V 251</v>
          </cell>
          <cell r="S4" t="str">
            <v>C 199</v>
          </cell>
          <cell r="T4" t="str">
            <v>C 215</v>
          </cell>
          <cell r="U4" t="str">
            <v>R 230</v>
          </cell>
          <cell r="V4" t="str">
            <v>W/V 220</v>
          </cell>
          <cell r="W4" t="str">
            <v>W/V 240</v>
          </cell>
          <cell r="X4" t="str">
            <v>Other</v>
          </cell>
          <cell r="Y4" t="str">
            <v>SMART</v>
          </cell>
          <cell r="Z4" t="str">
            <v>Total</v>
          </cell>
        </row>
        <row r="5">
          <cell r="A5">
            <v>2</v>
          </cell>
          <cell r="B5" t="str">
            <v>Sales Volume</v>
          </cell>
          <cell r="F5">
            <v>11000</v>
          </cell>
          <cell r="G5">
            <v>8050</v>
          </cell>
          <cell r="H5">
            <v>95</v>
          </cell>
          <cell r="I5">
            <v>12350</v>
          </cell>
          <cell r="J5">
            <v>502</v>
          </cell>
          <cell r="K5">
            <v>56498</v>
          </cell>
          <cell r="L5">
            <v>16070</v>
          </cell>
          <cell r="M5">
            <v>2450</v>
          </cell>
          <cell r="N5">
            <v>49300</v>
          </cell>
          <cell r="O5">
            <v>1345</v>
          </cell>
          <cell r="P5">
            <v>1005</v>
          </cell>
          <cell r="Q5">
            <v>31575</v>
          </cell>
          <cell r="R5">
            <v>10000</v>
          </cell>
          <cell r="S5">
            <v>260</v>
          </cell>
          <cell r="T5">
            <v>1220</v>
          </cell>
          <cell r="U5">
            <v>10720</v>
          </cell>
          <cell r="V5">
            <v>16400</v>
          </cell>
          <cell r="W5">
            <v>160</v>
          </cell>
          <cell r="Z5">
            <v>229000</v>
          </cell>
        </row>
        <row r="6">
          <cell r="A6">
            <v>3</v>
          </cell>
          <cell r="B6" t="str">
            <v>Turnover LLP (Local Standard)</v>
          </cell>
          <cell r="F6">
            <v>635257650</v>
          </cell>
          <cell r="G6">
            <v>383817600</v>
          </cell>
          <cell r="H6">
            <v>2522950</v>
          </cell>
          <cell r="I6">
            <v>577359250</v>
          </cell>
          <cell r="J6">
            <v>17490100</v>
          </cell>
          <cell r="K6">
            <v>1769918600</v>
          </cell>
          <cell r="L6">
            <v>1087428000</v>
          </cell>
          <cell r="M6">
            <v>141041100</v>
          </cell>
          <cell r="N6">
            <v>2606945250</v>
          </cell>
          <cell r="O6">
            <v>122317000</v>
          </cell>
          <cell r="P6">
            <v>39812850</v>
          </cell>
          <cell r="Q6">
            <v>1377758850</v>
          </cell>
          <cell r="R6">
            <v>501750000</v>
          </cell>
          <cell r="S6">
            <v>117000000</v>
          </cell>
          <cell r="T6">
            <v>143434000</v>
          </cell>
          <cell r="U6">
            <v>1084065800</v>
          </cell>
          <cell r="V6">
            <v>1355101000</v>
          </cell>
          <cell r="W6">
            <v>55448500</v>
          </cell>
          <cell r="Z6">
            <v>12018468500</v>
          </cell>
        </row>
        <row r="7">
          <cell r="A7">
            <v>4</v>
          </cell>
          <cell r="B7" t="str">
            <v>Turnover LLP (cust. options, fact.)</v>
          </cell>
          <cell r="F7">
            <v>36862698.649999999</v>
          </cell>
          <cell r="G7">
            <v>29536938.149999999</v>
          </cell>
          <cell r="H7">
            <v>319524.2</v>
          </cell>
          <cell r="I7">
            <v>64886689</v>
          </cell>
          <cell r="J7">
            <v>1443509.1</v>
          </cell>
          <cell r="K7">
            <v>212704217.25</v>
          </cell>
          <cell r="L7">
            <v>76829486</v>
          </cell>
          <cell r="M7">
            <v>11471766.85</v>
          </cell>
          <cell r="N7">
            <v>243617361.5</v>
          </cell>
          <cell r="O7">
            <v>144566.20000000001</v>
          </cell>
          <cell r="P7">
            <v>5765984.5499999998</v>
          </cell>
          <cell r="Q7">
            <v>165372525.25</v>
          </cell>
          <cell r="R7">
            <v>65860625</v>
          </cell>
          <cell r="T7">
            <v>3142305.8</v>
          </cell>
          <cell r="U7">
            <v>43603678.200000003</v>
          </cell>
          <cell r="V7">
            <v>38270097.200000003</v>
          </cell>
          <cell r="W7">
            <v>2708482</v>
          </cell>
          <cell r="Z7">
            <v>1002540454.9000001</v>
          </cell>
        </row>
        <row r="8">
          <cell r="A8">
            <v>6</v>
          </cell>
          <cell r="B8" t="str">
            <v>Turnover LLP (non new veh.)</v>
          </cell>
          <cell r="C8">
            <v>1188889000</v>
          </cell>
          <cell r="D8">
            <v>47238000</v>
          </cell>
          <cell r="X8">
            <v>56382300</v>
          </cell>
          <cell r="Z8">
            <v>1292509300</v>
          </cell>
        </row>
        <row r="9">
          <cell r="A9">
            <v>10</v>
          </cell>
          <cell r="B9" t="str">
            <v>Other Revenue VPC</v>
          </cell>
          <cell r="F9">
            <v>242000</v>
          </cell>
          <cell r="G9">
            <v>177100</v>
          </cell>
          <cell r="H9">
            <v>2090</v>
          </cell>
          <cell r="I9">
            <v>271700</v>
          </cell>
          <cell r="J9">
            <v>11044</v>
          </cell>
          <cell r="K9">
            <v>1242956</v>
          </cell>
          <cell r="L9">
            <v>353540</v>
          </cell>
          <cell r="M9">
            <v>53900</v>
          </cell>
          <cell r="N9">
            <v>1084600</v>
          </cell>
          <cell r="O9">
            <v>29590</v>
          </cell>
          <cell r="S9">
            <v>5720</v>
          </cell>
          <cell r="T9">
            <v>26840</v>
          </cell>
          <cell r="U9">
            <v>235840</v>
          </cell>
          <cell r="V9">
            <v>360800</v>
          </cell>
          <cell r="W9">
            <v>3520</v>
          </cell>
          <cell r="Z9">
            <v>4101240</v>
          </cell>
        </row>
        <row r="10">
          <cell r="A10">
            <v>12</v>
          </cell>
          <cell r="B10" t="str">
            <v>Other Revenue</v>
          </cell>
          <cell r="F10">
            <v>8254510</v>
          </cell>
          <cell r="G10">
            <v>6036405</v>
          </cell>
          <cell r="H10">
            <v>68400</v>
          </cell>
          <cell r="I10">
            <v>9330075</v>
          </cell>
          <cell r="J10">
            <v>361440</v>
          </cell>
          <cell r="K10">
            <v>42292590</v>
          </cell>
          <cell r="L10">
            <v>11982020</v>
          </cell>
          <cell r="M10">
            <v>1813005</v>
          </cell>
          <cell r="N10">
            <v>37205070</v>
          </cell>
          <cell r="O10">
            <v>968400</v>
          </cell>
          <cell r="P10">
            <v>723600</v>
          </cell>
          <cell r="Q10">
            <v>23902530</v>
          </cell>
          <cell r="R10">
            <v>7750000</v>
          </cell>
          <cell r="S10">
            <v>711750</v>
          </cell>
          <cell r="T10">
            <v>921795</v>
          </cell>
          <cell r="U10">
            <v>8027225</v>
          </cell>
          <cell r="V10">
            <v>12290790</v>
          </cell>
          <cell r="W10">
            <v>436500</v>
          </cell>
          <cell r="Z10">
            <v>173076105</v>
          </cell>
        </row>
        <row r="11">
          <cell r="A11">
            <v>15</v>
          </cell>
          <cell r="B11" t="str">
            <v>Dealer Discounts (%)</v>
          </cell>
          <cell r="F11">
            <v>72252937.590399995</v>
          </cell>
          <cell r="G11">
            <v>44435612.848399997</v>
          </cell>
          <cell r="H11">
            <v>305565.97649999999</v>
          </cell>
          <cell r="I11">
            <v>69041438.583900005</v>
          </cell>
          <cell r="J11">
            <v>2035362.9889</v>
          </cell>
          <cell r="K11">
            <v>213131954.4646</v>
          </cell>
          <cell r="L11">
            <v>125157679.745</v>
          </cell>
          <cell r="M11">
            <v>16395133.2141</v>
          </cell>
          <cell r="N11">
            <v>306435482.68949997</v>
          </cell>
          <cell r="O11">
            <v>13164618.3665</v>
          </cell>
          <cell r="P11">
            <v>4899724.6890000002</v>
          </cell>
          <cell r="Q11">
            <v>165886622.3698</v>
          </cell>
          <cell r="R11">
            <v>61018142.509999998</v>
          </cell>
          <cell r="S11">
            <v>12577500</v>
          </cell>
          <cell r="T11">
            <v>15756952.9057</v>
          </cell>
          <cell r="U11">
            <v>121224469.2066</v>
          </cell>
          <cell r="V11">
            <v>149787393.5589</v>
          </cell>
          <cell r="W11">
            <v>6251875.5692999996</v>
          </cell>
          <cell r="Z11">
            <v>1399758467.2770998</v>
          </cell>
        </row>
        <row r="12">
          <cell r="A12">
            <v>17</v>
          </cell>
          <cell r="B12" t="str">
            <v>Dealer Discount (abs.)</v>
          </cell>
          <cell r="F12">
            <v>4356000</v>
          </cell>
          <cell r="G12">
            <v>3187800</v>
          </cell>
          <cell r="H12">
            <v>37620</v>
          </cell>
          <cell r="I12">
            <v>4890600</v>
          </cell>
          <cell r="J12">
            <v>198792</v>
          </cell>
          <cell r="K12">
            <v>22373208</v>
          </cell>
          <cell r="L12">
            <v>6363720</v>
          </cell>
          <cell r="M12">
            <v>970200</v>
          </cell>
          <cell r="N12">
            <v>19522800</v>
          </cell>
          <cell r="O12">
            <v>532620</v>
          </cell>
          <cell r="P12">
            <v>397980</v>
          </cell>
          <cell r="Q12">
            <v>12503700</v>
          </cell>
          <cell r="R12">
            <v>3960000</v>
          </cell>
          <cell r="S12">
            <v>102960</v>
          </cell>
          <cell r="T12">
            <v>483120</v>
          </cell>
          <cell r="U12">
            <v>4245120</v>
          </cell>
          <cell r="V12">
            <v>6494400</v>
          </cell>
          <cell r="W12">
            <v>63360</v>
          </cell>
          <cell r="Z12">
            <v>90684000</v>
          </cell>
        </row>
        <row r="13">
          <cell r="A13">
            <v>19</v>
          </cell>
          <cell r="B13" t="str">
            <v>Performance or. Discounts (%)</v>
          </cell>
          <cell r="F13">
            <v>15122708.112500001</v>
          </cell>
          <cell r="G13">
            <v>9300477.1804000009</v>
          </cell>
          <cell r="H13">
            <v>63955.669500000004</v>
          </cell>
          <cell r="I13">
            <v>14450533.7689</v>
          </cell>
          <cell r="J13">
            <v>426006.21539999999</v>
          </cell>
          <cell r="K13">
            <v>44609014.287</v>
          </cell>
          <cell r="L13">
            <v>26195793.434999999</v>
          </cell>
          <cell r="M13">
            <v>3431539.5381999998</v>
          </cell>
          <cell r="N13">
            <v>64137660.711999997</v>
          </cell>
          <cell r="O13">
            <v>2755385.2395000001</v>
          </cell>
          <cell r="P13">
            <v>1025523.8025</v>
          </cell>
          <cell r="Q13">
            <v>34720456.412699997</v>
          </cell>
          <cell r="R13">
            <v>12771239.029999999</v>
          </cell>
          <cell r="S13">
            <v>1755000</v>
          </cell>
          <cell r="T13">
            <v>3297966.9127000002</v>
          </cell>
          <cell r="U13">
            <v>25372563.559599999</v>
          </cell>
          <cell r="V13">
            <v>31350850.2969</v>
          </cell>
          <cell r="W13">
            <v>872354.73</v>
          </cell>
          <cell r="Z13">
            <v>291659028.90280002</v>
          </cell>
        </row>
        <row r="14">
          <cell r="A14">
            <v>22</v>
          </cell>
          <cell r="B14" t="str">
            <v>Special Discount (%)</v>
          </cell>
          <cell r="G14">
            <v>472246.66409999999</v>
          </cell>
          <cell r="H14">
            <v>7324.9889999999996</v>
          </cell>
          <cell r="I14">
            <v>731141.08200000005</v>
          </cell>
          <cell r="J14">
            <v>41019.642999999996</v>
          </cell>
          <cell r="K14">
            <v>2494687.2182</v>
          </cell>
          <cell r="M14">
            <v>245610.81649999999</v>
          </cell>
          <cell r="N14">
            <v>3678143.8714999999</v>
          </cell>
          <cell r="P14">
            <v>34371.210299999999</v>
          </cell>
          <cell r="Q14">
            <v>2193183.1545000002</v>
          </cell>
          <cell r="V14">
            <v>1451487.436</v>
          </cell>
          <cell r="Z14">
            <v>11349216.085100003</v>
          </cell>
        </row>
        <row r="15">
          <cell r="A15">
            <v>23</v>
          </cell>
          <cell r="B15" t="str">
            <v>Special Discount (abs.)</v>
          </cell>
          <cell r="F15">
            <v>600082</v>
          </cell>
          <cell r="G15">
            <v>425028</v>
          </cell>
          <cell r="H15">
            <v>4752</v>
          </cell>
          <cell r="I15">
            <v>652270</v>
          </cell>
          <cell r="J15">
            <v>25434</v>
          </cell>
          <cell r="K15">
            <v>2969295</v>
          </cell>
          <cell r="L15">
            <v>883850</v>
          </cell>
          <cell r="M15">
            <v>127655</v>
          </cell>
          <cell r="N15">
            <v>2603987</v>
          </cell>
          <cell r="O15">
            <v>72630</v>
          </cell>
          <cell r="P15">
            <v>53136</v>
          </cell>
          <cell r="Q15">
            <v>1514400</v>
          </cell>
          <cell r="R15">
            <v>540000</v>
          </cell>
          <cell r="T15">
            <v>65880</v>
          </cell>
          <cell r="U15">
            <v>536000</v>
          </cell>
          <cell r="V15">
            <v>858276</v>
          </cell>
          <cell r="W15">
            <v>314000</v>
          </cell>
          <cell r="Z15">
            <v>12246675</v>
          </cell>
        </row>
        <row r="16">
          <cell r="A16">
            <v>29</v>
          </cell>
          <cell r="B16" t="str">
            <v>Market Support (Type Cat. Budget)</v>
          </cell>
          <cell r="F16">
            <v>200000</v>
          </cell>
          <cell r="G16">
            <v>18499999.999899998</v>
          </cell>
          <cell r="H16">
            <v>100000.0001</v>
          </cell>
          <cell r="J16">
            <v>1300000.0001000001</v>
          </cell>
          <cell r="K16">
            <v>69099999.999300003</v>
          </cell>
          <cell r="M16">
            <v>5800000.0006999997</v>
          </cell>
          <cell r="N16">
            <v>107900000.00030001</v>
          </cell>
          <cell r="P16">
            <v>15100000.000299999</v>
          </cell>
          <cell r="T16">
            <v>1800000.0001000001</v>
          </cell>
          <cell r="U16">
            <v>3499999.9997</v>
          </cell>
          <cell r="V16">
            <v>65100000.000500001</v>
          </cell>
          <cell r="W16">
            <v>6200000</v>
          </cell>
          <cell r="Z16">
            <v>294600000.00099999</v>
          </cell>
        </row>
        <row r="17">
          <cell r="A17">
            <v>31</v>
          </cell>
          <cell r="B17" t="str">
            <v>Paid commissions</v>
          </cell>
          <cell r="F17">
            <v>528000</v>
          </cell>
          <cell r="G17">
            <v>386400</v>
          </cell>
          <cell r="H17">
            <v>4560</v>
          </cell>
          <cell r="I17">
            <v>592800</v>
          </cell>
          <cell r="J17">
            <v>24096</v>
          </cell>
          <cell r="K17">
            <v>2711904</v>
          </cell>
          <cell r="L17">
            <v>787430</v>
          </cell>
          <cell r="M17">
            <v>120050</v>
          </cell>
          <cell r="N17">
            <v>2415700</v>
          </cell>
          <cell r="T17">
            <v>93940</v>
          </cell>
          <cell r="U17">
            <v>1608000</v>
          </cell>
          <cell r="V17">
            <v>1262800</v>
          </cell>
          <cell r="Z17">
            <v>10535680</v>
          </cell>
        </row>
        <row r="18">
          <cell r="A18">
            <v>33</v>
          </cell>
          <cell r="B18" t="str">
            <v>DC-Material Ref.price (GLU, fact. std.)</v>
          </cell>
          <cell r="F18">
            <v>557457528</v>
          </cell>
          <cell r="G18">
            <v>349951257.60000002</v>
          </cell>
          <cell r="H18">
            <v>2621384.4</v>
          </cell>
          <cell r="I18">
            <v>482497766.39999998</v>
          </cell>
          <cell r="J18">
            <v>16383912</v>
          </cell>
          <cell r="K18">
            <v>1689971095.2</v>
          </cell>
          <cell r="L18">
            <v>1019651356.8</v>
          </cell>
          <cell r="M18">
            <v>122484482.40000001</v>
          </cell>
          <cell r="N18">
            <v>2188773084</v>
          </cell>
          <cell r="O18">
            <v>113226439.2</v>
          </cell>
          <cell r="P18">
            <v>40074397.200000003</v>
          </cell>
          <cell r="Q18">
            <v>1363234388.4000001</v>
          </cell>
          <cell r="R18">
            <v>458662560</v>
          </cell>
          <cell r="S18">
            <v>103079496</v>
          </cell>
          <cell r="T18">
            <v>135942528</v>
          </cell>
          <cell r="U18">
            <v>1021258017.6</v>
          </cell>
          <cell r="V18">
            <v>1257438285.5999999</v>
          </cell>
          <cell r="W18">
            <v>59159893.200000003</v>
          </cell>
          <cell r="Z18">
            <v>10981867872.000002</v>
          </cell>
        </row>
        <row r="19">
          <cell r="A19">
            <v>34</v>
          </cell>
          <cell r="B19" t="str">
            <v>DC-Material Ref.price (local standard)</v>
          </cell>
          <cell r="F19">
            <v>69255408</v>
          </cell>
          <cell r="G19">
            <v>50991175.200000003</v>
          </cell>
          <cell r="H19">
            <v>383610</v>
          </cell>
          <cell r="I19">
            <v>24987054</v>
          </cell>
          <cell r="J19">
            <v>2659945.2000000002</v>
          </cell>
          <cell r="K19">
            <v>327866978.39999998</v>
          </cell>
          <cell r="L19">
            <v>85129544.400000006</v>
          </cell>
          <cell r="M19">
            <v>16076720.4</v>
          </cell>
          <cell r="N19">
            <v>306129171.60000002</v>
          </cell>
          <cell r="O19">
            <v>1463898</v>
          </cell>
          <cell r="P19">
            <v>1941710.4</v>
          </cell>
          <cell r="Q19">
            <v>95262049.200000003</v>
          </cell>
          <cell r="R19">
            <v>45087120</v>
          </cell>
          <cell r="T19">
            <v>9422140.8000000007</v>
          </cell>
          <cell r="U19">
            <v>51662296.799999997</v>
          </cell>
          <cell r="V19">
            <v>181184661.59999999</v>
          </cell>
          <cell r="W19">
            <v>1557603.6</v>
          </cell>
          <cell r="Z19">
            <v>1271061087.5999997</v>
          </cell>
        </row>
        <row r="20">
          <cell r="A20">
            <v>35</v>
          </cell>
          <cell r="B20" t="str">
            <v>DC-Material Ref.price (customer opt.)</v>
          </cell>
          <cell r="F20">
            <v>20839359.300000001</v>
          </cell>
          <cell r="G20">
            <v>10122523.08</v>
          </cell>
          <cell r="H20">
            <v>234339.03599999999</v>
          </cell>
          <cell r="I20">
            <v>27460071.300000001</v>
          </cell>
          <cell r="J20">
            <v>551419.81200000003</v>
          </cell>
          <cell r="K20">
            <v>90427147.788000003</v>
          </cell>
          <cell r="L20">
            <v>12543239.039999999</v>
          </cell>
          <cell r="M20">
            <v>3520645.4279999998</v>
          </cell>
          <cell r="N20">
            <v>64316719.259999998</v>
          </cell>
          <cell r="P20">
            <v>1068183.7919999999</v>
          </cell>
          <cell r="Q20">
            <v>37065532.908</v>
          </cell>
          <cell r="R20">
            <v>10123740</v>
          </cell>
          <cell r="T20">
            <v>1094839.344</v>
          </cell>
          <cell r="U20">
            <v>12299311.332</v>
          </cell>
          <cell r="V20">
            <v>14389669.439999999</v>
          </cell>
          <cell r="W20">
            <v>1613708.34</v>
          </cell>
          <cell r="Z20">
            <v>307670449.19999993</v>
          </cell>
        </row>
        <row r="21">
          <cell r="A21">
            <v>36</v>
          </cell>
          <cell r="B21" t="str">
            <v>DC-Material Ref.price (non new veh.)</v>
          </cell>
          <cell r="C21">
            <v>831668000</v>
          </cell>
          <cell r="Z21">
            <v>831668000</v>
          </cell>
        </row>
        <row r="22">
          <cell r="A22">
            <v>39</v>
          </cell>
          <cell r="B22" t="str">
            <v>Reduction GLU, factory std.</v>
          </cell>
          <cell r="F22">
            <v>193342936.6884</v>
          </cell>
          <cell r="G22">
            <v>121785283.0988</v>
          </cell>
          <cell r="H22">
            <v>995874.41810000001</v>
          </cell>
          <cell r="I22">
            <v>165228553.3062</v>
          </cell>
          <cell r="J22">
            <v>6224313.7176999999</v>
          </cell>
          <cell r="K22">
            <v>589295616.55050004</v>
          </cell>
          <cell r="L22">
            <v>244111672.5429</v>
          </cell>
          <cell r="M22">
            <v>30144383.729499999</v>
          </cell>
          <cell r="N22">
            <v>531133706.39899999</v>
          </cell>
          <cell r="O22">
            <v>22026731.7764</v>
          </cell>
          <cell r="P22">
            <v>8310468.1875</v>
          </cell>
          <cell r="Q22">
            <v>314608595.55610001</v>
          </cell>
          <cell r="R22">
            <v>80137522.219999999</v>
          </cell>
          <cell r="S22">
            <v>29900800.268300001</v>
          </cell>
          <cell r="T22">
            <v>39813578.871399999</v>
          </cell>
          <cell r="U22">
            <v>295670075.81190002</v>
          </cell>
          <cell r="V22">
            <v>389708193.54879999</v>
          </cell>
          <cell r="W22">
            <v>15497147.127599999</v>
          </cell>
          <cell r="Z22">
            <v>3077935453.8191004</v>
          </cell>
        </row>
        <row r="23">
          <cell r="A23">
            <v>45</v>
          </cell>
          <cell r="B23" t="str">
            <v>Incidental Costs DCAG/PG</v>
          </cell>
          <cell r="F23">
            <v>605000</v>
          </cell>
          <cell r="G23">
            <v>402500</v>
          </cell>
          <cell r="H23">
            <v>13775</v>
          </cell>
          <cell r="I23">
            <v>617500</v>
          </cell>
          <cell r="J23">
            <v>25100</v>
          </cell>
          <cell r="K23">
            <v>7627230</v>
          </cell>
          <cell r="L23">
            <v>2410500</v>
          </cell>
          <cell r="M23">
            <v>514500</v>
          </cell>
          <cell r="N23">
            <v>8134500</v>
          </cell>
          <cell r="T23">
            <v>183000</v>
          </cell>
          <cell r="U23">
            <v>536000</v>
          </cell>
          <cell r="V23">
            <v>2460000</v>
          </cell>
          <cell r="Z23">
            <v>23529605</v>
          </cell>
        </row>
        <row r="24">
          <cell r="A24">
            <v>47</v>
          </cell>
          <cell r="B24" t="str">
            <v>Import-duty</v>
          </cell>
          <cell r="F24">
            <v>12081968.9219</v>
          </cell>
          <cell r="G24">
            <v>7694839.4780999999</v>
          </cell>
          <cell r="H24">
            <v>59676.010699999999</v>
          </cell>
          <cell r="I24">
            <v>9834454.3994999994</v>
          </cell>
          <cell r="J24">
            <v>355667.60590000002</v>
          </cell>
          <cell r="K24">
            <v>40404591.229400001</v>
          </cell>
          <cell r="L24">
            <v>23227451.334199999</v>
          </cell>
          <cell r="M24">
            <v>2977536.5583000001</v>
          </cell>
          <cell r="N24">
            <v>53947068.919200003</v>
          </cell>
          <cell r="O24">
            <v>2464851.8895999999</v>
          </cell>
          <cell r="S24">
            <v>1946553.3152000001</v>
          </cell>
          <cell r="T24">
            <v>2836781.7008000002</v>
          </cell>
          <cell r="U24">
            <v>21002018.246100001</v>
          </cell>
          <cell r="V24">
            <v>28283897.5847</v>
          </cell>
          <cell r="W24">
            <v>1245785.9417999999</v>
          </cell>
          <cell r="Z24">
            <v>208363143.1354</v>
          </cell>
        </row>
        <row r="25">
          <cell r="A25">
            <v>48</v>
          </cell>
          <cell r="B25" t="str">
            <v>Insurance</v>
          </cell>
          <cell r="F25">
            <v>363000</v>
          </cell>
          <cell r="G25">
            <v>265650</v>
          </cell>
          <cell r="H25">
            <v>3135</v>
          </cell>
          <cell r="I25">
            <v>407550</v>
          </cell>
          <cell r="J25">
            <v>16566</v>
          </cell>
          <cell r="K25">
            <v>1864434</v>
          </cell>
          <cell r="L25">
            <v>530310</v>
          </cell>
          <cell r="M25">
            <v>80850</v>
          </cell>
          <cell r="N25">
            <v>1626900</v>
          </cell>
          <cell r="O25">
            <v>44385</v>
          </cell>
          <cell r="T25">
            <v>40260</v>
          </cell>
          <cell r="U25">
            <v>353760</v>
          </cell>
          <cell r="V25">
            <v>541200</v>
          </cell>
          <cell r="Z25">
            <v>6138000</v>
          </cell>
        </row>
        <row r="26">
          <cell r="A26">
            <v>49</v>
          </cell>
          <cell r="B26" t="str">
            <v>Freight/Transport to VPC</v>
          </cell>
          <cell r="F26">
            <v>3817000</v>
          </cell>
          <cell r="G26">
            <v>2793350</v>
          </cell>
          <cell r="H26">
            <v>32965</v>
          </cell>
          <cell r="I26">
            <v>4285450</v>
          </cell>
          <cell r="J26">
            <v>174194</v>
          </cell>
          <cell r="K26">
            <v>19604806</v>
          </cell>
          <cell r="L26">
            <v>5576290</v>
          </cell>
          <cell r="M26">
            <v>850150</v>
          </cell>
          <cell r="N26">
            <v>17107100</v>
          </cell>
          <cell r="O26">
            <v>466715</v>
          </cell>
          <cell r="S26">
            <v>780000</v>
          </cell>
          <cell r="T26">
            <v>423340</v>
          </cell>
          <cell r="U26">
            <v>3719840</v>
          </cell>
          <cell r="V26">
            <v>5690800</v>
          </cell>
          <cell r="W26">
            <v>480000</v>
          </cell>
          <cell r="Z26">
            <v>65802000</v>
          </cell>
        </row>
        <row r="27">
          <cell r="A27">
            <v>50</v>
          </cell>
          <cell r="B27" t="str">
            <v>Freight/Transport ex VPC (ex 2004)</v>
          </cell>
          <cell r="C27">
            <v>32634000</v>
          </cell>
          <cell r="F27">
            <v>2607000</v>
          </cell>
          <cell r="G27">
            <v>1907850</v>
          </cell>
          <cell r="H27">
            <v>22515</v>
          </cell>
          <cell r="I27">
            <v>2926950</v>
          </cell>
          <cell r="J27">
            <v>118974</v>
          </cell>
          <cell r="K27">
            <v>13390026</v>
          </cell>
          <cell r="L27">
            <v>3808590</v>
          </cell>
          <cell r="M27">
            <v>580650</v>
          </cell>
          <cell r="N27">
            <v>11684100</v>
          </cell>
          <cell r="O27">
            <v>318765</v>
          </cell>
          <cell r="P27">
            <v>499485</v>
          </cell>
          <cell r="Q27">
            <v>15692775</v>
          </cell>
          <cell r="R27">
            <v>4970000</v>
          </cell>
          <cell r="S27">
            <v>234000</v>
          </cell>
          <cell r="T27">
            <v>289140</v>
          </cell>
          <cell r="U27">
            <v>2540640</v>
          </cell>
          <cell r="V27">
            <v>3886800</v>
          </cell>
          <cell r="W27">
            <v>144000</v>
          </cell>
          <cell r="Z27">
            <v>98256260</v>
          </cell>
        </row>
        <row r="28">
          <cell r="A28">
            <v>57</v>
          </cell>
          <cell r="B28" t="str">
            <v>Oth. dir. Material local content</v>
          </cell>
          <cell r="P28">
            <v>22770</v>
          </cell>
          <cell r="T28">
            <v>207400</v>
          </cell>
          <cell r="U28">
            <v>1822400</v>
          </cell>
          <cell r="V28">
            <v>2788000</v>
          </cell>
          <cell r="Z28">
            <v>4840570</v>
          </cell>
        </row>
        <row r="29">
          <cell r="A29">
            <v>58</v>
          </cell>
          <cell r="B29" t="str">
            <v>Oth. dir. Material vehicle-preparation</v>
          </cell>
          <cell r="F29">
            <v>770000</v>
          </cell>
          <cell r="G29">
            <v>563500</v>
          </cell>
          <cell r="H29">
            <v>6650</v>
          </cell>
          <cell r="I29">
            <v>864500</v>
          </cell>
          <cell r="J29">
            <v>35140</v>
          </cell>
          <cell r="K29">
            <v>3954860</v>
          </cell>
          <cell r="L29">
            <v>1124900</v>
          </cell>
          <cell r="M29">
            <v>171500</v>
          </cell>
          <cell r="N29">
            <v>3451000</v>
          </cell>
          <cell r="O29">
            <v>94150</v>
          </cell>
          <cell r="T29">
            <v>85400</v>
          </cell>
          <cell r="U29">
            <v>750400</v>
          </cell>
          <cell r="V29">
            <v>1148000</v>
          </cell>
          <cell r="Z29">
            <v>13020000</v>
          </cell>
        </row>
        <row r="30">
          <cell r="A30">
            <v>60</v>
          </cell>
          <cell r="B30" t="str">
            <v>Oth. dir. Material, others</v>
          </cell>
          <cell r="C30">
            <v>135968000</v>
          </cell>
          <cell r="D30">
            <v>81030000</v>
          </cell>
          <cell r="F30">
            <v>462000</v>
          </cell>
          <cell r="G30">
            <v>338100</v>
          </cell>
          <cell r="H30">
            <v>56145</v>
          </cell>
          <cell r="I30">
            <v>518700</v>
          </cell>
          <cell r="J30">
            <v>296682</v>
          </cell>
          <cell r="K30">
            <v>33390318</v>
          </cell>
          <cell r="L30">
            <v>674940</v>
          </cell>
          <cell r="M30">
            <v>646800</v>
          </cell>
          <cell r="N30">
            <v>13015200</v>
          </cell>
          <cell r="O30">
            <v>56490</v>
          </cell>
          <cell r="P30">
            <v>334665</v>
          </cell>
          <cell r="Q30">
            <v>10514475</v>
          </cell>
          <cell r="R30">
            <v>420000</v>
          </cell>
          <cell r="S30">
            <v>10920</v>
          </cell>
          <cell r="T30">
            <v>51240</v>
          </cell>
          <cell r="U30">
            <v>450240</v>
          </cell>
          <cell r="V30">
            <v>688800</v>
          </cell>
          <cell r="W30">
            <v>6720</v>
          </cell>
          <cell r="X30">
            <v>41500000</v>
          </cell>
          <cell r="Z30">
            <v>320430435</v>
          </cell>
        </row>
        <row r="31">
          <cell r="A31">
            <v>66</v>
          </cell>
          <cell r="B31" t="str">
            <v>Direct Wages vehicle-preparation</v>
          </cell>
          <cell r="F31">
            <v>330000</v>
          </cell>
          <cell r="G31">
            <v>241500</v>
          </cell>
          <cell r="H31">
            <v>2850</v>
          </cell>
          <cell r="I31">
            <v>370500</v>
          </cell>
          <cell r="J31">
            <v>15060</v>
          </cell>
          <cell r="K31">
            <v>1694940</v>
          </cell>
          <cell r="L31">
            <v>482100</v>
          </cell>
          <cell r="M31">
            <v>73500</v>
          </cell>
          <cell r="N31">
            <v>1479000</v>
          </cell>
          <cell r="O31">
            <v>40350</v>
          </cell>
          <cell r="T31">
            <v>36600</v>
          </cell>
          <cell r="U31">
            <v>321600</v>
          </cell>
          <cell r="V31">
            <v>492000</v>
          </cell>
          <cell r="Z31">
            <v>5580000</v>
          </cell>
        </row>
        <row r="32">
          <cell r="A32">
            <v>68</v>
          </cell>
          <cell r="B32" t="str">
            <v>Direct Wages, others</v>
          </cell>
          <cell r="C32">
            <v>28718000</v>
          </cell>
          <cell r="Z32">
            <v>28718000</v>
          </cell>
        </row>
        <row r="33">
          <cell r="A33">
            <v>82</v>
          </cell>
          <cell r="B33" t="str">
            <v>Other dir. selling exp., others</v>
          </cell>
          <cell r="F33">
            <v>2321000</v>
          </cell>
          <cell r="G33">
            <v>1698550</v>
          </cell>
          <cell r="H33">
            <v>20045</v>
          </cell>
          <cell r="I33">
            <v>2605850</v>
          </cell>
          <cell r="J33">
            <v>105922</v>
          </cell>
          <cell r="K33">
            <v>11921078</v>
          </cell>
          <cell r="L33">
            <v>3390770</v>
          </cell>
          <cell r="M33">
            <v>516950</v>
          </cell>
          <cell r="N33">
            <v>10402300</v>
          </cell>
          <cell r="O33">
            <v>283795</v>
          </cell>
          <cell r="P33">
            <v>212055</v>
          </cell>
          <cell r="Q33">
            <v>6662325</v>
          </cell>
          <cell r="R33">
            <v>2110000</v>
          </cell>
          <cell r="S33">
            <v>258440</v>
          </cell>
          <cell r="T33">
            <v>257420</v>
          </cell>
          <cell r="U33">
            <v>2261920</v>
          </cell>
          <cell r="V33">
            <v>3460400</v>
          </cell>
          <cell r="W33">
            <v>159040</v>
          </cell>
          <cell r="Z33">
            <v>48647860</v>
          </cell>
        </row>
        <row r="34">
          <cell r="A34">
            <v>86</v>
          </cell>
          <cell r="B34" t="str">
            <v>Warranty and Policy (Type-Cat.-Budget)</v>
          </cell>
          <cell r="C34">
            <v>96970000</v>
          </cell>
          <cell r="F34">
            <v>7222800</v>
          </cell>
          <cell r="G34">
            <v>5433900</v>
          </cell>
          <cell r="H34">
            <v>62799.999799999998</v>
          </cell>
          <cell r="I34">
            <v>8201499.9998000003</v>
          </cell>
          <cell r="J34">
            <v>338899.9999</v>
          </cell>
          <cell r="K34">
            <v>38152399.999899998</v>
          </cell>
          <cell r="L34">
            <v>10847599.9998</v>
          </cell>
          <cell r="M34">
            <v>1653799.9990999999</v>
          </cell>
          <cell r="N34">
            <v>33278699.999499999</v>
          </cell>
          <cell r="O34">
            <v>907899.99979999999</v>
          </cell>
          <cell r="Q34">
            <v>21992299.999899998</v>
          </cell>
          <cell r="R34">
            <v>6750200</v>
          </cell>
          <cell r="T34">
            <v>823500</v>
          </cell>
          <cell r="U34">
            <v>7236300.0003000004</v>
          </cell>
          <cell r="V34">
            <v>11070400.000299999</v>
          </cell>
          <cell r="W34">
            <v>270000</v>
          </cell>
          <cell r="Z34">
            <v>251212999.99809998</v>
          </cell>
        </row>
        <row r="35">
          <cell r="A35">
            <v>88</v>
          </cell>
          <cell r="B35" t="str">
            <v>Personnel Overheads Total</v>
          </cell>
          <cell r="C35">
            <v>81000000</v>
          </cell>
          <cell r="F35">
            <v>3024181.0559999999</v>
          </cell>
          <cell r="G35">
            <v>2067781.2479960001</v>
          </cell>
          <cell r="H35">
            <v>20392.32</v>
          </cell>
          <cell r="I35">
            <v>3150613.44</v>
          </cell>
          <cell r="J35">
            <v>110118.527996</v>
          </cell>
          <cell r="K35">
            <v>12019233.407996001</v>
          </cell>
          <cell r="L35">
            <v>4858391.8079960002</v>
          </cell>
          <cell r="M35">
            <v>685181.95200399996</v>
          </cell>
          <cell r="N35">
            <v>13280106.24</v>
          </cell>
          <cell r="O35">
            <v>468160</v>
          </cell>
          <cell r="P35">
            <v>231556.19200400001</v>
          </cell>
          <cell r="Q35">
            <v>7836603.8079960002</v>
          </cell>
          <cell r="R35">
            <v>2571840</v>
          </cell>
          <cell r="S35">
            <v>244087.07200399999</v>
          </cell>
          <cell r="T35">
            <v>492364.48</v>
          </cell>
          <cell r="U35">
            <v>4032150.8160000001</v>
          </cell>
          <cell r="V35">
            <v>5570004.1279960005</v>
          </cell>
          <cell r="W35">
            <v>137233.50399999999</v>
          </cell>
          <cell r="Y35">
            <v>209736</v>
          </cell>
          <cell r="Z35">
            <v>142009735.99998802</v>
          </cell>
        </row>
        <row r="36">
          <cell r="A36">
            <v>90</v>
          </cell>
          <cell r="B36" t="str">
            <v>Marketing Costs Total, gross</v>
          </cell>
          <cell r="C36">
            <v>43000000</v>
          </cell>
          <cell r="F36">
            <v>11166589.59</v>
          </cell>
          <cell r="G36">
            <v>7635146.2199999997</v>
          </cell>
          <cell r="H36">
            <v>75297.3</v>
          </cell>
          <cell r="I36">
            <v>11633432.85</v>
          </cell>
          <cell r="J36">
            <v>406605.42</v>
          </cell>
          <cell r="K36">
            <v>44380228.619999997</v>
          </cell>
          <cell r="L36">
            <v>17939292.120000001</v>
          </cell>
          <cell r="M36">
            <v>2529989.2799999998</v>
          </cell>
          <cell r="N36">
            <v>49035918.600000001</v>
          </cell>
          <cell r="O36">
            <v>1728650</v>
          </cell>
          <cell r="P36">
            <v>855006.00500400004</v>
          </cell>
          <cell r="Q36">
            <v>28936143.995003998</v>
          </cell>
          <cell r="R36">
            <v>9496350</v>
          </cell>
          <cell r="S36">
            <v>901275.45500399999</v>
          </cell>
          <cell r="T36">
            <v>1818023.45</v>
          </cell>
          <cell r="U36">
            <v>14888451.615003999</v>
          </cell>
          <cell r="V36">
            <v>20566873.795003999</v>
          </cell>
          <cell r="W36">
            <v>506725.68500400003</v>
          </cell>
          <cell r="Y36">
            <v>1359950</v>
          </cell>
          <cell r="Z36">
            <v>268859950.00002396</v>
          </cell>
        </row>
        <row r="37">
          <cell r="A37">
            <v>93</v>
          </cell>
          <cell r="B37" t="str">
            <v>Other Overheads Total, gross</v>
          </cell>
          <cell r="C37">
            <v>69700000</v>
          </cell>
          <cell r="F37">
            <v>1979644.8359999999</v>
          </cell>
          <cell r="G37">
            <v>1353580.4879960001</v>
          </cell>
          <cell r="H37">
            <v>13348.92</v>
          </cell>
          <cell r="I37">
            <v>2062408.14</v>
          </cell>
          <cell r="J37">
            <v>72084.167996000004</v>
          </cell>
          <cell r="K37">
            <v>7867853.4479959998</v>
          </cell>
          <cell r="L37">
            <v>3180328.8479960002</v>
          </cell>
          <cell r="M37">
            <v>448523.71200399997</v>
          </cell>
          <cell r="N37">
            <v>8693227.4399999995</v>
          </cell>
          <cell r="O37">
            <v>306460</v>
          </cell>
          <cell r="P37">
            <v>151577.902004</v>
          </cell>
          <cell r="Q37">
            <v>5129882.0979960002</v>
          </cell>
          <cell r="R37">
            <v>1683540</v>
          </cell>
          <cell r="S37">
            <v>159780.682004</v>
          </cell>
          <cell r="T37">
            <v>322304.38</v>
          </cell>
          <cell r="U37">
            <v>2639467.1460000002</v>
          </cell>
          <cell r="V37">
            <v>3646154.0179960001</v>
          </cell>
          <cell r="W37">
            <v>89833.774000000005</v>
          </cell>
          <cell r="Y37">
            <v>832247</v>
          </cell>
          <cell r="Z37">
            <v>110332246.999988</v>
          </cell>
        </row>
        <row r="38">
          <cell r="A38">
            <v>97</v>
          </cell>
          <cell r="B38" t="str">
            <v>Financial Depreciation</v>
          </cell>
          <cell r="C38">
            <v>17000000</v>
          </cell>
          <cell r="F38">
            <v>1719605.0570360001</v>
          </cell>
          <cell r="G38">
            <v>1175778.50832</v>
          </cell>
          <cell r="H38">
            <v>11595.4488</v>
          </cell>
          <cell r="I38">
            <v>1791496.8396040001</v>
          </cell>
          <cell r="J38">
            <v>62615.423519999997</v>
          </cell>
          <cell r="K38">
            <v>6834357.5227239998</v>
          </cell>
          <cell r="L38">
            <v>2762571.0787160001</v>
          </cell>
          <cell r="M38">
            <v>389607.07967599999</v>
          </cell>
          <cell r="N38">
            <v>7551313.0415960001</v>
          </cell>
          <cell r="O38">
            <v>266204.40000000002</v>
          </cell>
          <cell r="P38">
            <v>131667.11627999999</v>
          </cell>
          <cell r="Q38">
            <v>4456037.2837199997</v>
          </cell>
          <cell r="R38">
            <v>1462395.6</v>
          </cell>
          <cell r="S38">
            <v>138792.40547600001</v>
          </cell>
          <cell r="T38">
            <v>279967.51320400002</v>
          </cell>
          <cell r="U38">
            <v>2292755.2304440001</v>
          </cell>
          <cell r="V38">
            <v>3167206.9525199998</v>
          </cell>
          <cell r="W38">
            <v>78033.498355999996</v>
          </cell>
          <cell r="Z38">
            <v>51571999.999991991</v>
          </cell>
        </row>
        <row r="40">
          <cell r="C40">
            <v>3</v>
          </cell>
          <cell r="D40">
            <v>4</v>
          </cell>
          <cell r="E40">
            <v>5</v>
          </cell>
          <cell r="F40">
            <v>6</v>
          </cell>
          <cell r="G40">
            <v>7</v>
          </cell>
          <cell r="H40">
            <v>8</v>
          </cell>
          <cell r="I40">
            <v>9</v>
          </cell>
          <cell r="J40">
            <v>10</v>
          </cell>
          <cell r="K40">
            <v>11</v>
          </cell>
          <cell r="L40">
            <v>12</v>
          </cell>
          <cell r="M40">
            <v>13</v>
          </cell>
          <cell r="N40">
            <v>14</v>
          </cell>
          <cell r="O40">
            <v>15</v>
          </cell>
          <cell r="P40">
            <v>16</v>
          </cell>
          <cell r="Q40">
            <v>17</v>
          </cell>
          <cell r="R40">
            <v>18</v>
          </cell>
          <cell r="S40">
            <v>19</v>
          </cell>
          <cell r="T40">
            <v>20</v>
          </cell>
          <cell r="U40">
            <v>21</v>
          </cell>
          <cell r="V40">
            <v>22</v>
          </cell>
          <cell r="W40">
            <v>23</v>
          </cell>
          <cell r="X40">
            <v>24</v>
          </cell>
          <cell r="Y40">
            <v>25</v>
          </cell>
          <cell r="Z40">
            <v>26</v>
          </cell>
        </row>
      </sheetData>
      <sheetData sheetId="3" refreshError="1"/>
      <sheetData sheetId="4" refreshError="1"/>
      <sheetData sheetId="5" refreshError="1"/>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 Ratio"/>
      <sheetName val="Investment_Income$ ALL"/>
      <sheetName val="Investment_Income$ NEW"/>
      <sheetName val="Loss Carry"/>
      <sheetName val="NewRMB"/>
      <sheetName val="Joe Invest"/>
      <sheetName val="Investment_Timing"/>
      <sheetName val="Investment_CashDep"/>
      <sheetName val="MKT Forum Summary"/>
      <sheetName val="Investment_Depr"/>
      <sheetName val="INPUT_Volume"/>
      <sheetName val="Assumption"/>
      <sheetName val="Financial Profile"/>
      <sheetName val="BJC Volume and Cadence"/>
      <sheetName val="Volume"/>
      <sheetName val="Price"/>
      <sheetName val="04_Margin"/>
      <sheetName val="HPV"/>
      <sheetName val="Margin_vehicle"/>
      <sheetName val="300 Margin"/>
      <sheetName val="Sada"/>
      <sheetName val="2005 Forecast"/>
      <sheetName val="2004 forecast"/>
      <sheetName val="JSC41-3"/>
      <sheetName val="JSC41-2"/>
      <sheetName val="JSC41-1"/>
      <sheetName val="JSD41-2"/>
      <sheetName val="JSD41-1"/>
      <sheetName val="JC49-2"/>
      <sheetName val="JC49-1"/>
      <sheetName val="RG-2"/>
      <sheetName val="RG-1"/>
      <sheetName val="300C-3"/>
      <sheetName val="300C-2"/>
      <sheetName val="300C-1"/>
      <sheetName val="C-2"/>
      <sheetName val="C-1"/>
      <sheetName val="MK74-2"/>
      <sheetName val="MK74-1"/>
      <sheetName val="MK49-2"/>
      <sheetName val="MK49-1"/>
      <sheetName val="GS45x"/>
      <sheetName val="WK-3"/>
      <sheetName val="WK-2"/>
      <sheetName val="WK-1"/>
      <sheetName val="Empty"/>
      <sheetName val="P168-2"/>
      <sheetName val="P168-1"/>
      <sheetName val="WJ"/>
      <sheetName val="P45"/>
      <sheetName val="NQZ"/>
      <sheetName val="J2500"/>
      <sheetName val="GETmargin"/>
      <sheetName val="Income RMB"/>
      <sheetName val="Income USD Summary"/>
      <sheetName val="Income USD"/>
      <sheetName val="re_Volumes"/>
      <sheetName val="Investment"/>
      <sheetName val="2004 MSRP"/>
      <sheetName val="2004 Margin"/>
      <sheetName val="NPV (2)"/>
      <sheetName val="NPV"/>
      <sheetName val="Dep_all"/>
      <sheetName val="Summary"/>
      <sheetName val="re_Margin"/>
      <sheetName val="Margin"/>
      <sheetName val="Volumes"/>
      <sheetName val="Pricing 05"/>
      <sheetName val="Variable Margin 05"/>
      <sheetName val="CK margin"/>
      <sheetName val="C Model"/>
      <sheetName val="MK Model"/>
      <sheetName val="JS Model"/>
      <sheetName val="JC Model"/>
      <sheetName val="RG Model"/>
    </sheetNames>
    <sheetDataSet>
      <sheetData sheetId="0" refreshError="1"/>
      <sheetData sheetId="1" refreshError="1"/>
      <sheetData sheetId="2" refreshError="1">
        <row r="12">
          <cell r="A12" t="str">
            <v>JEEP2500</v>
          </cell>
          <cell r="E12">
            <v>5000</v>
          </cell>
          <cell r="O12">
            <v>1</v>
          </cell>
          <cell r="S12">
            <v>1</v>
          </cell>
          <cell r="AC12" t="str">
            <v>JEEP2500</v>
          </cell>
          <cell r="AD12">
            <v>0</v>
          </cell>
          <cell r="AF12">
            <v>0</v>
          </cell>
          <cell r="AG12">
            <v>0</v>
          </cell>
        </row>
        <row r="13">
          <cell r="A13" t="str">
            <v>MK49</v>
          </cell>
          <cell r="E13">
            <v>0</v>
          </cell>
          <cell r="F13">
            <v>0</v>
          </cell>
          <cell r="G13">
            <v>20000</v>
          </cell>
          <cell r="H13">
            <v>20000</v>
          </cell>
          <cell r="I13">
            <v>20000</v>
          </cell>
          <cell r="J13">
            <v>20000</v>
          </cell>
          <cell r="K13">
            <v>20000</v>
          </cell>
          <cell r="L13">
            <v>0</v>
          </cell>
          <cell r="M13">
            <v>0</v>
          </cell>
          <cell r="O13">
            <v>1</v>
          </cell>
          <cell r="P13">
            <v>1</v>
          </cell>
          <cell r="Q13" t="str">
            <v>MK49</v>
          </cell>
          <cell r="R13">
            <v>1</v>
          </cell>
          <cell r="S13">
            <v>1</v>
          </cell>
          <cell r="AC13" t="str">
            <v>MK49</v>
          </cell>
          <cell r="AD13">
            <v>0.11273957158962795</v>
          </cell>
          <cell r="AF13">
            <v>0.11273957158962795</v>
          </cell>
          <cell r="AG13">
            <v>0.12165450121654502</v>
          </cell>
        </row>
        <row r="14">
          <cell r="A14" t="str">
            <v>MK74</v>
          </cell>
          <cell r="E14">
            <v>0</v>
          </cell>
          <cell r="F14">
            <v>0</v>
          </cell>
          <cell r="G14">
            <v>0</v>
          </cell>
          <cell r="H14">
            <v>0</v>
          </cell>
          <cell r="I14">
            <v>0</v>
          </cell>
          <cell r="J14">
            <v>0</v>
          </cell>
          <cell r="K14">
            <v>0</v>
          </cell>
          <cell r="L14">
            <v>0</v>
          </cell>
          <cell r="M14">
            <v>0</v>
          </cell>
          <cell r="O14">
            <v>1</v>
          </cell>
          <cell r="P14">
            <v>1</v>
          </cell>
          <cell r="Q14" t="str">
            <v>MK74</v>
          </cell>
          <cell r="R14">
            <v>2</v>
          </cell>
          <cell r="S14">
            <v>1</v>
          </cell>
          <cell r="AC14" t="str">
            <v>MK74</v>
          </cell>
          <cell r="AD14">
            <v>0</v>
          </cell>
          <cell r="AF14">
            <v>0</v>
          </cell>
          <cell r="AG14">
            <v>0</v>
          </cell>
        </row>
        <row r="15">
          <cell r="A15" t="str">
            <v>C</v>
          </cell>
          <cell r="B15" t="str">
            <v>PM Modified</v>
          </cell>
          <cell r="E15">
            <v>0</v>
          </cell>
          <cell r="F15">
            <v>0</v>
          </cell>
          <cell r="G15">
            <v>0</v>
          </cell>
          <cell r="H15">
            <v>0</v>
          </cell>
          <cell r="I15">
            <v>0</v>
          </cell>
          <cell r="J15">
            <v>0</v>
          </cell>
          <cell r="K15">
            <v>0</v>
          </cell>
          <cell r="L15">
            <v>0</v>
          </cell>
          <cell r="M15">
            <v>0</v>
          </cell>
          <cell r="O15">
            <v>1</v>
          </cell>
          <cell r="P15">
            <v>1</v>
          </cell>
          <cell r="Q15" t="str">
            <v>C</v>
          </cell>
          <cell r="R15">
            <v>3</v>
          </cell>
          <cell r="S15">
            <v>1</v>
          </cell>
          <cell r="AC15" t="str">
            <v>C</v>
          </cell>
          <cell r="AD15">
            <v>0</v>
          </cell>
          <cell r="AF15">
            <v>0</v>
          </cell>
          <cell r="AG15">
            <v>0</v>
          </cell>
        </row>
        <row r="16">
          <cell r="A16" t="str">
            <v>NQZ</v>
          </cell>
          <cell r="E16">
            <v>25000</v>
          </cell>
          <cell r="F16">
            <v>25000</v>
          </cell>
          <cell r="G16">
            <v>25000</v>
          </cell>
          <cell r="H16">
            <v>0</v>
          </cell>
          <cell r="I16">
            <v>0</v>
          </cell>
          <cell r="J16">
            <v>0</v>
          </cell>
          <cell r="K16">
            <v>0</v>
          </cell>
          <cell r="L16">
            <v>0</v>
          </cell>
          <cell r="M16">
            <v>0</v>
          </cell>
          <cell r="O16">
            <v>1</v>
          </cell>
          <cell r="S16">
            <v>1</v>
          </cell>
          <cell r="AC16" t="str">
            <v>NQZ</v>
          </cell>
          <cell r="AD16">
            <v>0</v>
          </cell>
          <cell r="AF16">
            <v>0</v>
          </cell>
          <cell r="AG16">
            <v>0</v>
          </cell>
        </row>
        <row r="17">
          <cell r="A17" t="str">
            <v>P45</v>
          </cell>
          <cell r="E17">
            <v>5000</v>
          </cell>
          <cell r="S17">
            <v>1</v>
          </cell>
          <cell r="AC17" t="str">
            <v>P45</v>
          </cell>
          <cell r="AD17">
            <v>0</v>
          </cell>
          <cell r="AF17">
            <v>0</v>
          </cell>
          <cell r="AG17">
            <v>0</v>
          </cell>
        </row>
        <row r="18">
          <cell r="A18" t="str">
            <v>GS45X</v>
          </cell>
          <cell r="E18">
            <v>0</v>
          </cell>
          <cell r="F18">
            <v>0</v>
          </cell>
          <cell r="G18">
            <v>0</v>
          </cell>
          <cell r="H18">
            <v>0</v>
          </cell>
          <cell r="I18">
            <v>0</v>
          </cell>
          <cell r="J18">
            <v>0</v>
          </cell>
          <cell r="K18">
            <v>0</v>
          </cell>
          <cell r="L18">
            <v>0</v>
          </cell>
          <cell r="M18">
            <v>0</v>
          </cell>
          <cell r="O18">
            <v>1</v>
          </cell>
          <cell r="P18">
            <v>1</v>
          </cell>
          <cell r="Q18" t="str">
            <v>GS45X</v>
          </cell>
          <cell r="R18">
            <v>4</v>
          </cell>
          <cell r="S18">
            <v>1</v>
          </cell>
          <cell r="AC18" t="str">
            <v>GS45X</v>
          </cell>
          <cell r="AD18">
            <v>0</v>
          </cell>
          <cell r="AF18">
            <v>0</v>
          </cell>
          <cell r="AG18">
            <v>0</v>
          </cell>
        </row>
        <row r="19">
          <cell r="A19" t="str">
            <v>WK</v>
          </cell>
          <cell r="E19">
            <v>0</v>
          </cell>
          <cell r="F19">
            <v>11000</v>
          </cell>
          <cell r="G19">
            <v>11000</v>
          </cell>
          <cell r="H19">
            <v>11000</v>
          </cell>
          <cell r="I19">
            <v>11000</v>
          </cell>
          <cell r="J19">
            <v>11000</v>
          </cell>
          <cell r="K19">
            <v>0</v>
          </cell>
          <cell r="L19">
            <v>0</v>
          </cell>
          <cell r="M19">
            <v>0</v>
          </cell>
          <cell r="O19">
            <v>1</v>
          </cell>
          <cell r="P19">
            <v>1</v>
          </cell>
          <cell r="Q19" t="str">
            <v>WK</v>
          </cell>
          <cell r="R19">
            <v>5</v>
          </cell>
          <cell r="S19">
            <v>1</v>
          </cell>
          <cell r="AC19" t="str">
            <v>WK</v>
          </cell>
          <cell r="AD19">
            <v>6.2006764374295378E-2</v>
          </cell>
          <cell r="AF19">
            <v>6.2006764374295378E-2</v>
          </cell>
          <cell r="AG19">
            <v>6.6909975669099758E-2</v>
          </cell>
        </row>
        <row r="20">
          <cell r="A20" t="str">
            <v>Project168</v>
          </cell>
          <cell r="E20">
            <v>5000</v>
          </cell>
          <cell r="F20">
            <v>20000</v>
          </cell>
          <cell r="G20">
            <v>20000</v>
          </cell>
          <cell r="H20">
            <v>20000</v>
          </cell>
          <cell r="I20">
            <v>0</v>
          </cell>
          <cell r="J20">
            <v>0</v>
          </cell>
          <cell r="K20">
            <v>0</v>
          </cell>
          <cell r="L20">
            <v>0</v>
          </cell>
          <cell r="M20">
            <v>0</v>
          </cell>
          <cell r="O20">
            <v>1</v>
          </cell>
          <cell r="P20">
            <v>1</v>
          </cell>
          <cell r="Q20" t="str">
            <v>Project168</v>
          </cell>
          <cell r="R20">
            <v>6</v>
          </cell>
          <cell r="S20">
            <v>1</v>
          </cell>
          <cell r="AC20" t="str">
            <v>Project168</v>
          </cell>
          <cell r="AD20">
            <v>7.3280721533258167E-2</v>
          </cell>
          <cell r="AF20">
            <v>7.3280721533258167E-2</v>
          </cell>
          <cell r="AG20">
            <v>0</v>
          </cell>
        </row>
        <row r="21">
          <cell r="A21" t="str">
            <v>300C</v>
          </cell>
          <cell r="E21">
            <v>2000</v>
          </cell>
          <cell r="F21">
            <v>25000</v>
          </cell>
          <cell r="G21">
            <v>25000</v>
          </cell>
          <cell r="H21">
            <v>25000</v>
          </cell>
          <cell r="I21">
            <v>25000</v>
          </cell>
          <cell r="J21">
            <v>25000</v>
          </cell>
          <cell r="K21">
            <v>0</v>
          </cell>
          <cell r="L21">
            <v>0</v>
          </cell>
          <cell r="M21">
            <v>0</v>
          </cell>
          <cell r="O21">
            <v>1</v>
          </cell>
          <cell r="P21">
            <v>1</v>
          </cell>
          <cell r="Q21" t="str">
            <v>300C</v>
          </cell>
          <cell r="R21">
            <v>7</v>
          </cell>
          <cell r="S21">
            <v>1</v>
          </cell>
          <cell r="AC21" t="str">
            <v>300C</v>
          </cell>
          <cell r="AD21">
            <v>0.14317925591882752</v>
          </cell>
          <cell r="AF21">
            <v>0.14317925591882752</v>
          </cell>
          <cell r="AG21">
            <v>0.15450121654501217</v>
          </cell>
        </row>
        <row r="22">
          <cell r="A22" t="str">
            <v>RG</v>
          </cell>
          <cell r="E22">
            <v>0</v>
          </cell>
          <cell r="F22">
            <v>0</v>
          </cell>
          <cell r="G22">
            <v>0</v>
          </cell>
          <cell r="H22">
            <v>0</v>
          </cell>
          <cell r="I22">
            <v>0</v>
          </cell>
          <cell r="J22">
            <v>0</v>
          </cell>
          <cell r="K22">
            <v>0</v>
          </cell>
          <cell r="L22">
            <v>0</v>
          </cell>
          <cell r="M22">
            <v>0</v>
          </cell>
          <cell r="O22">
            <v>1</v>
          </cell>
          <cell r="P22">
            <v>1</v>
          </cell>
          <cell r="Q22" t="str">
            <v>RG</v>
          </cell>
          <cell r="R22">
            <v>8</v>
          </cell>
          <cell r="S22">
            <v>1</v>
          </cell>
          <cell r="AC22" t="str">
            <v>RG</v>
          </cell>
          <cell r="AD22">
            <v>0</v>
          </cell>
          <cell r="AF22">
            <v>0</v>
          </cell>
          <cell r="AG22">
            <v>0</v>
          </cell>
        </row>
        <row r="23">
          <cell r="A23" t="str">
            <v>WJ</v>
          </cell>
          <cell r="E23">
            <v>3000</v>
          </cell>
          <cell r="S23">
            <v>1</v>
          </cell>
          <cell r="AC23" t="str">
            <v>WJ</v>
          </cell>
          <cell r="AD23">
            <v>0</v>
          </cell>
          <cell r="AF23">
            <v>0</v>
          </cell>
          <cell r="AG23">
            <v>0</v>
          </cell>
        </row>
        <row r="24">
          <cell r="A24" t="str">
            <v>JC49</v>
          </cell>
          <cell r="E24">
            <v>0</v>
          </cell>
          <cell r="F24">
            <v>0</v>
          </cell>
          <cell r="G24">
            <v>0</v>
          </cell>
          <cell r="H24">
            <v>0</v>
          </cell>
          <cell r="I24">
            <v>0</v>
          </cell>
          <cell r="J24">
            <v>0</v>
          </cell>
          <cell r="K24">
            <v>0</v>
          </cell>
          <cell r="L24">
            <v>0</v>
          </cell>
          <cell r="M24">
            <v>0</v>
          </cell>
          <cell r="O24">
            <v>1</v>
          </cell>
          <cell r="P24">
            <v>1</v>
          </cell>
          <cell r="Q24" t="str">
            <v>JC49</v>
          </cell>
          <cell r="R24">
            <v>9</v>
          </cell>
          <cell r="S24">
            <v>1</v>
          </cell>
          <cell r="AC24" t="str">
            <v>JC49</v>
          </cell>
          <cell r="AD24">
            <v>0</v>
          </cell>
          <cell r="AF24">
            <v>0</v>
          </cell>
          <cell r="AG24">
            <v>0</v>
          </cell>
        </row>
        <row r="25">
          <cell r="A25" t="str">
            <v>JSD41</v>
          </cell>
          <cell r="E25">
            <v>0</v>
          </cell>
          <cell r="F25">
            <v>0</v>
          </cell>
          <cell r="G25">
            <v>8000</v>
          </cell>
          <cell r="H25">
            <v>58000</v>
          </cell>
          <cell r="I25">
            <v>58000</v>
          </cell>
          <cell r="J25">
            <v>58000</v>
          </cell>
          <cell r="K25">
            <v>58000</v>
          </cell>
          <cell r="L25">
            <v>50000</v>
          </cell>
          <cell r="M25">
            <v>0</v>
          </cell>
          <cell r="O25">
            <v>1</v>
          </cell>
          <cell r="P25">
            <v>1</v>
          </cell>
          <cell r="Q25" t="str">
            <v>JSD41</v>
          </cell>
          <cell r="R25">
            <v>10</v>
          </cell>
          <cell r="S25">
            <v>1</v>
          </cell>
          <cell r="AC25" t="str">
            <v>JSD41</v>
          </cell>
          <cell r="AD25">
            <v>0.32694475760992109</v>
          </cell>
          <cell r="AF25">
            <v>0.32694475760992109</v>
          </cell>
          <cell r="AG25">
            <v>0.35279805352798055</v>
          </cell>
        </row>
        <row r="26">
          <cell r="A26" t="str">
            <v>JSC41</v>
          </cell>
          <cell r="E26">
            <v>0</v>
          </cell>
          <cell r="F26">
            <v>0</v>
          </cell>
          <cell r="G26">
            <v>27000</v>
          </cell>
          <cell r="H26">
            <v>50000</v>
          </cell>
          <cell r="I26">
            <v>50000</v>
          </cell>
          <cell r="J26">
            <v>50000</v>
          </cell>
          <cell r="K26">
            <v>50000</v>
          </cell>
          <cell r="L26">
            <v>23000</v>
          </cell>
          <cell r="M26">
            <v>0</v>
          </cell>
          <cell r="O26">
            <v>1</v>
          </cell>
          <cell r="P26">
            <v>1</v>
          </cell>
          <cell r="Q26" t="str">
            <v>JSC41</v>
          </cell>
          <cell r="R26">
            <v>11</v>
          </cell>
          <cell r="S26">
            <v>1</v>
          </cell>
          <cell r="AC26" t="str">
            <v>JSC41</v>
          </cell>
          <cell r="AD26">
            <v>0.28184892897406988</v>
          </cell>
          <cell r="AF26">
            <v>0.28184892897406988</v>
          </cell>
          <cell r="AG26">
            <v>0.30413625304136255</v>
          </cell>
        </row>
        <row r="27">
          <cell r="AD27">
            <v>1</v>
          </cell>
          <cell r="AF27">
            <v>1</v>
          </cell>
          <cell r="AG27">
            <v>1</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arantie"/>
      <sheetName val="Regionen"/>
      <sheetName val="Anlagen"/>
      <sheetName val="Kennzahlen"/>
      <sheetName val="BE-PL-PL"/>
      <sheetName val="MB085A"/>
      <sheetName val="Sendebahn"/>
      <sheetName val="Tabelle1"/>
      <sheetName val="Mappe"/>
      <sheetName val="EurotoolsXRates"/>
      <sheetName val="Anfallplan 1-seitig"/>
      <sheetName val="Tabelle2"/>
      <sheetName val="Tabelle3"/>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2.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R28"/>
  <sheetViews>
    <sheetView workbookViewId="0">
      <selection activeCell="M13" sqref="M13"/>
    </sheetView>
  </sheetViews>
  <sheetFormatPr defaultRowHeight="14.4" x14ac:dyDescent="0.3"/>
  <cols>
    <col min="2" max="2" width="13.33203125" customWidth="1"/>
    <col min="14" max="14" width="16.6640625" bestFit="1" customWidth="1"/>
    <col min="15" max="15" width="13.33203125" customWidth="1"/>
    <col min="16" max="16" width="21.5546875" bestFit="1" customWidth="1"/>
  </cols>
  <sheetData>
    <row r="1" spans="1:18" ht="45" customHeight="1" x14ac:dyDescent="0.55000000000000004">
      <c r="A1" s="353" t="s">
        <v>97</v>
      </c>
      <c r="B1" s="353"/>
      <c r="C1" s="353"/>
      <c r="D1" s="353"/>
      <c r="E1" s="353"/>
      <c r="F1" s="353"/>
      <c r="G1" s="353"/>
      <c r="H1" s="353"/>
      <c r="I1" s="353"/>
      <c r="J1" s="353"/>
      <c r="M1" s="353" t="s">
        <v>137</v>
      </c>
      <c r="N1" s="353"/>
      <c r="O1" s="353"/>
      <c r="P1" s="353"/>
      <c r="Q1" s="353"/>
      <c r="R1" s="353"/>
    </row>
    <row r="2" spans="1:18" ht="14.4" customHeight="1" x14ac:dyDescent="0.3">
      <c r="A2" s="222"/>
      <c r="B2" s="222"/>
      <c r="C2" s="222"/>
      <c r="D2" s="222"/>
      <c r="E2" s="222"/>
      <c r="F2" s="222"/>
      <c r="G2" s="222"/>
      <c r="H2" s="222"/>
      <c r="I2" s="222"/>
      <c r="J2" s="222"/>
    </row>
    <row r="3" spans="1:18" ht="14.4" customHeight="1" x14ac:dyDescent="0.3">
      <c r="A3" s="355" t="s">
        <v>101</v>
      </c>
      <c r="B3" s="355"/>
      <c r="C3" s="355"/>
      <c r="D3" s="222"/>
      <c r="E3" s="222"/>
      <c r="F3" s="222"/>
      <c r="G3" s="355"/>
      <c r="H3" s="355"/>
      <c r="I3" s="355"/>
      <c r="J3" s="222"/>
      <c r="M3" t="s">
        <v>149</v>
      </c>
    </row>
    <row r="4" spans="1:18" ht="14.4" customHeight="1" x14ac:dyDescent="0.3">
      <c r="A4" s="222"/>
      <c r="B4" s="222"/>
      <c r="C4" s="222"/>
      <c r="D4" s="222"/>
      <c r="E4" s="222"/>
      <c r="F4" s="222"/>
      <c r="G4" s="222"/>
      <c r="H4" s="222"/>
      <c r="I4" s="222"/>
      <c r="J4" s="222"/>
    </row>
    <row r="5" spans="1:18" ht="14.4" customHeight="1" x14ac:dyDescent="0.3">
      <c r="A5" s="222"/>
      <c r="B5" s="222"/>
      <c r="C5" s="222"/>
      <c r="D5" s="222"/>
      <c r="E5" s="222"/>
      <c r="F5" s="222"/>
      <c r="G5" s="222"/>
      <c r="H5" s="222"/>
      <c r="I5" s="222"/>
      <c r="J5" s="222"/>
      <c r="M5" s="288" t="s">
        <v>138</v>
      </c>
      <c r="N5" s="288" t="s">
        <v>139</v>
      </c>
      <c r="O5" s="288" t="s">
        <v>140</v>
      </c>
      <c r="P5" s="288" t="s">
        <v>147</v>
      </c>
    </row>
    <row r="6" spans="1:18" ht="14.4" customHeight="1" x14ac:dyDescent="0.3">
      <c r="A6" s="222"/>
      <c r="B6" s="222"/>
      <c r="C6" s="222"/>
      <c r="D6" s="222"/>
      <c r="E6" s="222"/>
      <c r="F6" s="222"/>
      <c r="G6" s="222"/>
      <c r="H6" s="222"/>
      <c r="I6" s="222"/>
      <c r="J6" s="222"/>
      <c r="M6" t="s">
        <v>141</v>
      </c>
      <c r="N6" t="s">
        <v>142</v>
      </c>
      <c r="O6" t="s">
        <v>144</v>
      </c>
      <c r="P6" t="s">
        <v>143</v>
      </c>
    </row>
    <row r="7" spans="1:18" ht="14.4" customHeight="1" x14ac:dyDescent="0.3">
      <c r="A7" s="222"/>
      <c r="B7" s="222"/>
      <c r="C7" s="222"/>
      <c r="D7" s="222"/>
      <c r="E7" s="222"/>
      <c r="F7" s="222"/>
      <c r="G7" s="222"/>
      <c r="H7" s="222"/>
      <c r="I7" s="222"/>
      <c r="J7" s="222"/>
      <c r="M7" t="s">
        <v>141</v>
      </c>
      <c r="N7" t="s">
        <v>145</v>
      </c>
      <c r="O7" t="s">
        <v>146</v>
      </c>
      <c r="P7" t="s">
        <v>143</v>
      </c>
    </row>
    <row r="8" spans="1:18" ht="14.4" customHeight="1" x14ac:dyDescent="0.3">
      <c r="A8" s="222"/>
      <c r="B8" s="222"/>
      <c r="C8" s="222"/>
      <c r="D8" s="222"/>
      <c r="E8" s="222"/>
      <c r="F8" s="222"/>
      <c r="G8" s="222"/>
      <c r="H8" s="222"/>
      <c r="I8" s="222"/>
      <c r="J8" s="222"/>
      <c r="M8" t="s">
        <v>141</v>
      </c>
      <c r="N8" t="s">
        <v>53</v>
      </c>
      <c r="O8" t="s">
        <v>173</v>
      </c>
      <c r="P8" t="s">
        <v>143</v>
      </c>
    </row>
    <row r="9" spans="1:18" ht="14.4" customHeight="1" x14ac:dyDescent="0.3">
      <c r="A9" s="222"/>
      <c r="B9" s="222"/>
      <c r="C9" s="222"/>
      <c r="D9" s="222"/>
      <c r="E9" s="222"/>
      <c r="F9" s="222"/>
      <c r="G9" s="222"/>
      <c r="H9" s="222"/>
      <c r="I9" s="222"/>
      <c r="J9" s="222"/>
      <c r="M9" t="s">
        <v>141</v>
      </c>
      <c r="N9" t="s">
        <v>152</v>
      </c>
      <c r="O9" t="s">
        <v>153</v>
      </c>
      <c r="P9" t="s">
        <v>143</v>
      </c>
    </row>
    <row r="10" spans="1:18" ht="14.4" customHeight="1" x14ac:dyDescent="0.3">
      <c r="A10" s="354" t="s">
        <v>135</v>
      </c>
      <c r="B10" s="354"/>
      <c r="C10" s="354"/>
      <c r="D10" s="354"/>
      <c r="E10" s="354"/>
      <c r="F10" s="354"/>
      <c r="G10" s="354"/>
      <c r="H10" s="354"/>
      <c r="I10" s="354"/>
      <c r="J10" s="354"/>
      <c r="M10" t="s">
        <v>141</v>
      </c>
      <c r="N10" t="s">
        <v>150</v>
      </c>
      <c r="O10" t="s">
        <v>151</v>
      </c>
      <c r="P10" t="s">
        <v>143</v>
      </c>
    </row>
    <row r="11" spans="1:18" x14ac:dyDescent="0.3">
      <c r="A11" s="354"/>
      <c r="B11" s="354"/>
      <c r="C11" s="354"/>
      <c r="D11" s="354"/>
      <c r="E11" s="354"/>
      <c r="F11" s="354"/>
      <c r="G11" s="354"/>
      <c r="H11" s="354"/>
      <c r="I11" s="354"/>
      <c r="J11" s="354"/>
      <c r="M11" t="s">
        <v>141</v>
      </c>
      <c r="N11" t="s">
        <v>37</v>
      </c>
      <c r="O11" t="s">
        <v>148</v>
      </c>
      <c r="P11" t="s">
        <v>143</v>
      </c>
    </row>
    <row r="12" spans="1:18" x14ac:dyDescent="0.3">
      <c r="A12" s="354"/>
      <c r="B12" s="354"/>
      <c r="C12" s="354"/>
      <c r="D12" s="354"/>
      <c r="E12" s="354"/>
      <c r="F12" s="354"/>
      <c r="G12" s="354"/>
      <c r="H12" s="354"/>
      <c r="I12" s="354"/>
      <c r="J12" s="354"/>
      <c r="M12" t="s">
        <v>141</v>
      </c>
      <c r="N12" t="s">
        <v>36</v>
      </c>
      <c r="O12" t="s">
        <v>151</v>
      </c>
      <c r="P12" t="s">
        <v>154</v>
      </c>
    </row>
    <row r="13" spans="1:18" x14ac:dyDescent="0.3">
      <c r="A13" s="354"/>
      <c r="B13" s="354"/>
      <c r="C13" s="354"/>
      <c r="D13" s="354"/>
      <c r="E13" s="354"/>
      <c r="F13" s="354"/>
      <c r="G13" s="354"/>
      <c r="H13" s="354"/>
      <c r="I13" s="354"/>
      <c r="J13" s="354"/>
    </row>
    <row r="14" spans="1:18" x14ac:dyDescent="0.3">
      <c r="A14" s="354"/>
      <c r="B14" s="354"/>
      <c r="C14" s="354"/>
      <c r="D14" s="354"/>
      <c r="E14" s="354"/>
      <c r="F14" s="354"/>
      <c r="G14" s="354"/>
      <c r="H14" s="354"/>
      <c r="I14" s="354"/>
      <c r="J14" s="354"/>
    </row>
    <row r="15" spans="1:18" x14ac:dyDescent="0.3">
      <c r="A15" s="354"/>
      <c r="B15" s="354"/>
      <c r="C15" s="354"/>
      <c r="D15" s="354"/>
      <c r="E15" s="354"/>
      <c r="F15" s="354"/>
      <c r="G15" s="354"/>
      <c r="H15" s="354"/>
      <c r="I15" s="354"/>
      <c r="J15" s="354"/>
    </row>
    <row r="16" spans="1:18" x14ac:dyDescent="0.3">
      <c r="A16" s="354"/>
      <c r="B16" s="354"/>
      <c r="C16" s="354"/>
      <c r="D16" s="354"/>
      <c r="E16" s="354"/>
      <c r="F16" s="354"/>
      <c r="G16" s="354"/>
      <c r="H16" s="354"/>
      <c r="I16" s="354"/>
      <c r="J16" s="354"/>
    </row>
    <row r="17" spans="1:10" x14ac:dyDescent="0.3">
      <c r="A17" s="354"/>
      <c r="B17" s="354"/>
      <c r="C17" s="354"/>
      <c r="D17" s="354"/>
      <c r="E17" s="354"/>
      <c r="F17" s="354"/>
      <c r="G17" s="354"/>
      <c r="H17" s="354"/>
      <c r="I17" s="354"/>
      <c r="J17" s="354"/>
    </row>
    <row r="18" spans="1:10" x14ac:dyDescent="0.3">
      <c r="A18" s="354"/>
      <c r="B18" s="354"/>
      <c r="C18" s="354"/>
      <c r="D18" s="354"/>
      <c r="E18" s="354"/>
      <c r="F18" s="354"/>
      <c r="G18" s="354"/>
      <c r="H18" s="354"/>
      <c r="I18" s="354"/>
      <c r="J18" s="354"/>
    </row>
    <row r="19" spans="1:10" x14ac:dyDescent="0.3">
      <c r="A19" s="354"/>
      <c r="B19" s="354"/>
      <c r="C19" s="354"/>
      <c r="D19" s="354"/>
      <c r="E19" s="354"/>
      <c r="F19" s="354"/>
      <c r="G19" s="354"/>
      <c r="H19" s="354"/>
      <c r="I19" s="354"/>
      <c r="J19" s="354"/>
    </row>
    <row r="20" spans="1:10" x14ac:dyDescent="0.3">
      <c r="A20" s="354"/>
      <c r="B20" s="354"/>
      <c r="C20" s="354"/>
      <c r="D20" s="354"/>
      <c r="E20" s="354"/>
      <c r="F20" s="354"/>
      <c r="G20" s="354"/>
      <c r="H20" s="354"/>
      <c r="I20" s="354"/>
      <c r="J20" s="354"/>
    </row>
    <row r="21" spans="1:10" x14ac:dyDescent="0.3">
      <c r="A21" s="354"/>
      <c r="B21" s="354"/>
      <c r="C21" s="354"/>
      <c r="D21" s="354"/>
      <c r="E21" s="354"/>
      <c r="F21" s="354"/>
      <c r="G21" s="354"/>
      <c r="H21" s="354"/>
      <c r="I21" s="354"/>
      <c r="J21" s="354"/>
    </row>
    <row r="22" spans="1:10" x14ac:dyDescent="0.3">
      <c r="A22" s="354"/>
      <c r="B22" s="354"/>
      <c r="C22" s="354"/>
      <c r="D22" s="354"/>
      <c r="E22" s="354"/>
      <c r="F22" s="354"/>
      <c r="G22" s="354"/>
      <c r="H22" s="354"/>
      <c r="I22" s="354"/>
      <c r="J22" s="354"/>
    </row>
    <row r="23" spans="1:10" x14ac:dyDescent="0.3">
      <c r="A23" s="354"/>
      <c r="B23" s="354"/>
      <c r="C23" s="354"/>
      <c r="D23" s="354"/>
      <c r="E23" s="354"/>
      <c r="F23" s="354"/>
      <c r="G23" s="354"/>
      <c r="H23" s="354"/>
      <c r="I23" s="354"/>
      <c r="J23" s="354"/>
    </row>
    <row r="24" spans="1:10" x14ac:dyDescent="0.3">
      <c r="A24" s="354"/>
      <c r="B24" s="354"/>
      <c r="C24" s="354"/>
      <c r="D24" s="354"/>
      <c r="E24" s="354"/>
      <c r="F24" s="354"/>
      <c r="G24" s="354"/>
      <c r="H24" s="354"/>
      <c r="I24" s="354"/>
      <c r="J24" s="354"/>
    </row>
    <row r="25" spans="1:10" x14ac:dyDescent="0.3">
      <c r="A25" s="354"/>
      <c r="B25" s="354"/>
      <c r="C25" s="354"/>
      <c r="D25" s="354"/>
      <c r="E25" s="354"/>
      <c r="F25" s="354"/>
      <c r="G25" s="354"/>
      <c r="H25" s="354"/>
      <c r="I25" s="354"/>
      <c r="J25" s="354"/>
    </row>
    <row r="26" spans="1:10" x14ac:dyDescent="0.3">
      <c r="A26" s="354"/>
      <c r="B26" s="354"/>
      <c r="C26" s="354"/>
      <c r="D26" s="354"/>
      <c r="E26" s="354"/>
      <c r="F26" s="354"/>
      <c r="G26" s="354"/>
      <c r="H26" s="354"/>
      <c r="I26" s="354"/>
      <c r="J26" s="354"/>
    </row>
    <row r="27" spans="1:10" x14ac:dyDescent="0.3">
      <c r="A27" s="354"/>
      <c r="B27" s="354"/>
      <c r="C27" s="354"/>
      <c r="D27" s="354"/>
      <c r="E27" s="354"/>
      <c r="F27" s="354"/>
      <c r="G27" s="354"/>
      <c r="H27" s="354"/>
      <c r="I27" s="354"/>
      <c r="J27" s="354"/>
    </row>
    <row r="28" spans="1:10" x14ac:dyDescent="0.3">
      <c r="A28" s="354"/>
      <c r="B28" s="354"/>
      <c r="C28" s="354"/>
      <c r="D28" s="354"/>
      <c r="E28" s="354"/>
      <c r="F28" s="354"/>
      <c r="G28" s="354"/>
      <c r="H28" s="354"/>
      <c r="I28" s="354"/>
      <c r="J28" s="354"/>
    </row>
  </sheetData>
  <mergeCells count="5">
    <mergeCell ref="A1:J1"/>
    <mergeCell ref="A10:J28"/>
    <mergeCell ref="A3:C3"/>
    <mergeCell ref="G3:I3"/>
    <mergeCell ref="M1:R1"/>
  </mergeCells>
  <conditionalFormatting sqref="M6:M12">
    <cfRule type="containsText" dxfId="13" priority="3" operator="containsText" text="no">
      <formula>NOT(ISERROR(SEARCH("no",M6)))</formula>
    </cfRule>
    <cfRule type="containsText" dxfId="12" priority="4" operator="containsText" text="yes">
      <formula>NOT(ISERROR(SEARCH("yes",M6)))</formula>
    </cfRule>
  </conditionalFormatting>
  <pageMargins left="0.7" right="0.7" top="0.75" bottom="0.75" header="0.3" footer="0.3"/>
  <pageSetup orientation="portrait" verticalDpi="599"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0</xdr:col>
                    <xdr:colOff>144780</xdr:colOff>
                    <xdr:row>8</xdr:row>
                    <xdr:rowOff>91440</xdr:rowOff>
                  </from>
                  <to>
                    <xdr:col>5</xdr:col>
                    <xdr:colOff>182880</xdr:colOff>
                    <xdr:row>10</xdr:row>
                    <xdr:rowOff>38100</xdr:rowOff>
                  </to>
                </anchor>
              </controlPr>
            </control>
          </mc:Choice>
        </mc:AlternateContent>
        <mc:AlternateContent xmlns:mc="http://schemas.openxmlformats.org/markup-compatibility/2006">
          <mc:Choice Requires="x14">
            <control shapeId="9218" r:id="rId5" name="Check Box 2">
              <controlPr defaultSize="0" autoFill="0" autoLine="0" autoPict="0">
                <anchor moveWithCells="1">
                  <from>
                    <xdr:col>0</xdr:col>
                    <xdr:colOff>175260</xdr:colOff>
                    <xdr:row>3</xdr:row>
                    <xdr:rowOff>175260</xdr:rowOff>
                  </from>
                  <to>
                    <xdr:col>4</xdr:col>
                    <xdr:colOff>464820</xdr:colOff>
                    <xdr:row>5</xdr:row>
                    <xdr:rowOff>121920</xdr:rowOff>
                  </to>
                </anchor>
              </controlPr>
            </control>
          </mc:Choice>
        </mc:AlternateContent>
        <mc:AlternateContent xmlns:mc="http://schemas.openxmlformats.org/markup-compatibility/2006">
          <mc:Choice Requires="x14">
            <control shapeId="9219" r:id="rId6" name="Check Box 3">
              <controlPr defaultSize="0" autoFill="0" autoLine="0" autoPict="0">
                <anchor moveWithCells="1">
                  <from>
                    <xdr:col>0</xdr:col>
                    <xdr:colOff>175260</xdr:colOff>
                    <xdr:row>5</xdr:row>
                    <xdr:rowOff>60960</xdr:rowOff>
                  </from>
                  <to>
                    <xdr:col>5</xdr:col>
                    <xdr:colOff>129540</xdr:colOff>
                    <xdr:row>7</xdr:row>
                    <xdr:rowOff>7620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3"/>
  </sheetPr>
  <dimension ref="A1:AL120"/>
  <sheetViews>
    <sheetView zoomScale="80" zoomScaleNormal="80" workbookViewId="0">
      <pane xSplit="2" ySplit="1" topLeftCell="AD2" activePane="bottomRight" state="frozen"/>
      <selection pane="topRight" activeCell="C1" sqref="C1"/>
      <selection pane="bottomLeft" activeCell="A2" sqref="A2"/>
      <selection pane="bottomRight" activeCell="F4" sqref="F4:F10"/>
    </sheetView>
  </sheetViews>
  <sheetFormatPr defaultColWidth="16.6640625" defaultRowHeight="14.4" outlineLevelRow="1" x14ac:dyDescent="0.3"/>
  <cols>
    <col min="1" max="1" width="16.33203125" customWidth="1"/>
    <col min="2" max="2" width="16.6640625" style="21"/>
    <col min="3" max="3" width="18.33203125" customWidth="1"/>
    <col min="4" max="8" width="15.44140625" customWidth="1"/>
    <col min="9" max="9" width="15.44140625" style="21" customWidth="1"/>
    <col min="10" max="13" width="15.44140625" customWidth="1"/>
    <col min="14" max="14" width="17.33203125" customWidth="1"/>
    <col min="15" max="15" width="15.44140625" customWidth="1"/>
    <col min="16" max="16" width="15.44140625" style="21" customWidth="1"/>
    <col min="17" max="17" width="17.5546875" customWidth="1"/>
    <col min="18" max="18" width="15.44140625" customWidth="1"/>
    <col min="19" max="19" width="16.6640625" customWidth="1"/>
    <col min="20" max="22" width="15.44140625" customWidth="1"/>
    <col min="23" max="23" width="15.44140625" style="21" customWidth="1"/>
    <col min="24" max="29" width="15.44140625" customWidth="1"/>
  </cols>
  <sheetData>
    <row r="1" spans="1:38" s="5" customFormat="1" ht="72.599999999999994" customHeight="1" x14ac:dyDescent="1.65">
      <c r="B1" s="113" t="s">
        <v>136</v>
      </c>
      <c r="C1" s="113"/>
      <c r="D1" s="113"/>
      <c r="E1" s="113"/>
      <c r="F1" s="136"/>
      <c r="G1" s="137"/>
      <c r="H1" s="138"/>
      <c r="I1" s="138"/>
      <c r="J1" s="138"/>
      <c r="K1" s="138"/>
      <c r="L1" s="138"/>
      <c r="M1" s="135"/>
      <c r="N1" s="135"/>
      <c r="O1" s="134"/>
      <c r="P1" s="134"/>
      <c r="Q1" s="134"/>
      <c r="R1" s="135"/>
      <c r="S1" s="134"/>
      <c r="T1" s="132"/>
      <c r="U1" s="134"/>
      <c r="V1" s="134"/>
      <c r="W1" s="134"/>
      <c r="X1" s="78"/>
      <c r="Y1" s="132"/>
      <c r="Z1" s="78"/>
      <c r="AA1" s="78"/>
      <c r="AB1" s="78"/>
      <c r="AC1" s="78"/>
      <c r="AH1" s="356" t="s">
        <v>100</v>
      </c>
      <c r="AI1" s="356"/>
      <c r="AJ1" s="356"/>
      <c r="AK1" s="356"/>
      <c r="AL1" s="356"/>
    </row>
    <row r="2" spans="1:38" s="5" customFormat="1" ht="44.4" customHeight="1" x14ac:dyDescent="0.3">
      <c r="A2" s="9" t="s">
        <v>22</v>
      </c>
      <c r="B2" s="54"/>
      <c r="C2" s="357" t="s">
        <v>104</v>
      </c>
      <c r="D2" s="358"/>
      <c r="E2" s="358"/>
      <c r="F2" s="358"/>
      <c r="G2" s="358"/>
      <c r="H2" s="359"/>
      <c r="I2" s="44"/>
      <c r="J2" s="357" t="s">
        <v>158</v>
      </c>
      <c r="K2" s="358"/>
      <c r="L2" s="358"/>
      <c r="M2" s="358"/>
      <c r="N2" s="358"/>
      <c r="O2" s="359"/>
      <c r="P2" s="51"/>
      <c r="Q2" s="357" t="s">
        <v>44</v>
      </c>
      <c r="R2" s="358"/>
      <c r="S2" s="358"/>
      <c r="T2" s="358"/>
      <c r="U2" s="358"/>
      <c r="V2" s="359"/>
      <c r="W2" s="51"/>
      <c r="X2" s="357" t="s">
        <v>37</v>
      </c>
      <c r="Y2" s="358"/>
      <c r="Z2" s="358"/>
      <c r="AA2" s="358"/>
      <c r="AB2" s="358"/>
      <c r="AC2" s="359"/>
      <c r="AD2" s="17"/>
      <c r="AH2" s="124"/>
      <c r="AI2" s="125"/>
      <c r="AJ2" s="125"/>
      <c r="AK2" s="125"/>
      <c r="AL2" s="126"/>
    </row>
    <row r="3" spans="1:38" s="5" customFormat="1" ht="46.8" x14ac:dyDescent="0.3">
      <c r="A3" s="10"/>
      <c r="B3" s="21"/>
      <c r="C3" s="80" t="s">
        <v>13</v>
      </c>
      <c r="D3" s="80" t="s">
        <v>14</v>
      </c>
      <c r="E3" s="80" t="s">
        <v>55</v>
      </c>
      <c r="F3" s="80" t="s">
        <v>16</v>
      </c>
      <c r="G3" s="80" t="s">
        <v>15</v>
      </c>
      <c r="H3" s="80" t="s">
        <v>55</v>
      </c>
      <c r="I3" s="45"/>
      <c r="J3" s="80" t="s">
        <v>105</v>
      </c>
      <c r="K3" s="81" t="s">
        <v>106</v>
      </c>
      <c r="L3" s="80" t="s">
        <v>55</v>
      </c>
      <c r="M3" s="80" t="s">
        <v>17</v>
      </c>
      <c r="N3" s="80" t="s">
        <v>18</v>
      </c>
      <c r="O3" s="80" t="s">
        <v>55</v>
      </c>
      <c r="P3" s="45"/>
      <c r="Q3" s="80" t="s">
        <v>45</v>
      </c>
      <c r="R3" s="81" t="s">
        <v>46</v>
      </c>
      <c r="S3" s="80" t="s">
        <v>55</v>
      </c>
      <c r="T3" s="80" t="s">
        <v>47</v>
      </c>
      <c r="U3" s="80" t="s">
        <v>48</v>
      </c>
      <c r="V3" s="80" t="s">
        <v>55</v>
      </c>
      <c r="W3" s="45"/>
      <c r="X3" s="80" t="s">
        <v>19</v>
      </c>
      <c r="Y3" s="81" t="s">
        <v>20</v>
      </c>
      <c r="Z3" s="80" t="s">
        <v>55</v>
      </c>
      <c r="AA3" s="80" t="s">
        <v>21</v>
      </c>
      <c r="AB3" s="80" t="s">
        <v>54</v>
      </c>
      <c r="AC3" s="80" t="s">
        <v>55</v>
      </c>
      <c r="AH3" s="127"/>
      <c r="AI3" s="128"/>
      <c r="AJ3" s="128"/>
      <c r="AK3" s="128"/>
      <c r="AL3" s="129"/>
    </row>
    <row r="4" spans="1:38" s="5" customFormat="1" ht="20.399999999999999" customHeight="1" outlineLevel="1" thickBot="1" x14ac:dyDescent="0.35">
      <c r="A4" s="32" t="s">
        <v>6</v>
      </c>
      <c r="B4" s="55"/>
      <c r="C4" s="230">
        <f>+C32+C61+C90</f>
        <v>20650</v>
      </c>
      <c r="D4" s="230">
        <f>D32+D61+D90</f>
        <v>20650</v>
      </c>
      <c r="E4" s="230">
        <f>IF(D4=0, "", D4-C4)</f>
        <v>0</v>
      </c>
      <c r="F4" s="230">
        <f>+F32+F61+F90</f>
        <v>19582</v>
      </c>
      <c r="G4" s="230">
        <f>G32+G61+G90</f>
        <v>19582</v>
      </c>
      <c r="H4" s="230">
        <f>IF(G4=0, "", G4-F4)</f>
        <v>0</v>
      </c>
      <c r="I4" s="43"/>
      <c r="J4" s="32">
        <f t="shared" ref="J4:J15" si="0">+J32+J61+J90</f>
        <v>105446108.92000408</v>
      </c>
      <c r="K4" s="40">
        <f>K32+K61+K90</f>
        <v>105446108.92000408</v>
      </c>
      <c r="L4" s="27">
        <f>IF(K4=0, "", K4-J4)</f>
        <v>0</v>
      </c>
      <c r="M4" s="33">
        <f t="shared" ref="M4:M15" si="1">+M32+M61+M90</f>
        <v>103770953</v>
      </c>
      <c r="N4" s="38">
        <f>N32+N61+N90</f>
        <v>103770953</v>
      </c>
      <c r="O4" s="6">
        <f>IF(N4=0, "", N4-M4)</f>
        <v>0</v>
      </c>
      <c r="P4" s="43"/>
      <c r="Q4" s="32">
        <f>+Q32+Q61+Q90</f>
        <v>829278638.73000395</v>
      </c>
      <c r="R4" s="40">
        <f>R32+R61+R90</f>
        <v>829278638.73000395</v>
      </c>
      <c r="S4" s="27">
        <f>IF(R4=0, "", R4-Q4)</f>
        <v>0</v>
      </c>
      <c r="T4" s="33">
        <f>+T32+T61+T90</f>
        <v>794279130.650033</v>
      </c>
      <c r="U4" s="38">
        <f>U32+U61+U90</f>
        <v>794279130.650033</v>
      </c>
      <c r="V4" s="6">
        <f>IF(U4=0, "", U4-T4)</f>
        <v>0</v>
      </c>
      <c r="W4" s="43"/>
      <c r="X4" s="32">
        <v>19317455.97999993</v>
      </c>
      <c r="Y4" s="40">
        <v>19317455.97999993</v>
      </c>
      <c r="Z4" s="27">
        <f>IF(Y4=0, "", Y4-X4)</f>
        <v>0</v>
      </c>
      <c r="AA4" s="33">
        <v>-6877463.46</v>
      </c>
      <c r="AB4" s="38">
        <v>-6877463.46</v>
      </c>
      <c r="AC4" s="6">
        <f>IF(AB4=0, "", AB4-AA4)</f>
        <v>0</v>
      </c>
      <c r="AH4" s="127"/>
      <c r="AI4" s="128"/>
      <c r="AJ4" s="128"/>
      <c r="AK4" s="128"/>
      <c r="AL4" s="129"/>
    </row>
    <row r="5" spans="1:38" s="5" customFormat="1" ht="15" outlineLevel="1" thickBot="1" x14ac:dyDescent="0.35">
      <c r="A5" s="87" t="s">
        <v>7</v>
      </c>
      <c r="B5" s="55"/>
      <c r="C5" s="231">
        <f t="shared" ref="C5:C15" si="2">+C33+C62+C91</f>
        <v>20924</v>
      </c>
      <c r="D5" s="231">
        <f t="shared" ref="D5:D15" si="3">D33+D62+D91</f>
        <v>20924</v>
      </c>
      <c r="E5" s="232">
        <f t="shared" ref="E5:E15" si="4">IF(D5=0, "", D5-C5)</f>
        <v>0</v>
      </c>
      <c r="F5" s="231">
        <f t="shared" ref="F5:F15" si="5">+F33+F62+F91</f>
        <v>21519</v>
      </c>
      <c r="G5" s="232">
        <f t="shared" ref="G5:G15" si="6">G33+G62+G91</f>
        <v>21519</v>
      </c>
      <c r="H5" s="232">
        <f t="shared" ref="H5:H15" si="7">IF(G5=0, "", G5-F5)</f>
        <v>0</v>
      </c>
      <c r="I5" s="43"/>
      <c r="J5" s="87">
        <f t="shared" si="0"/>
        <v>106525973.50000127</v>
      </c>
      <c r="K5" s="41">
        <f t="shared" ref="K5:K15" si="8">K33+K62+K91</f>
        <v>106525973.50000127</v>
      </c>
      <c r="L5" s="28">
        <f t="shared" ref="L5:L15" si="9">IF(K5=0, "", K5-J5)</f>
        <v>0</v>
      </c>
      <c r="M5" s="34">
        <f t="shared" si="1"/>
        <v>114039919</v>
      </c>
      <c r="N5" s="69">
        <f t="shared" ref="N5:N15" si="10">N33+N62+N91</f>
        <v>114039919</v>
      </c>
      <c r="O5" s="7">
        <f t="shared" ref="O5:O15" si="11">IF(N5=0, "", N5-M5)</f>
        <v>0</v>
      </c>
      <c r="P5" s="43"/>
      <c r="Q5" s="87">
        <f t="shared" ref="Q5:Q15" si="12">+Q33+Q62+Q91</f>
        <v>842543039.68000865</v>
      </c>
      <c r="R5" s="41">
        <f t="shared" ref="R5:R15" si="13">R33+R62+R91</f>
        <v>842543039.68000865</v>
      </c>
      <c r="S5" s="28">
        <f t="shared" ref="S5:S15" si="14">IF(R5=0, "", R5-Q5)</f>
        <v>0</v>
      </c>
      <c r="T5" s="34">
        <f t="shared" ref="T5:T15" si="15">+T33+T62+T91</f>
        <v>867417100.87003589</v>
      </c>
      <c r="U5" s="69">
        <f t="shared" ref="U5:U15" si="16">U33+U62+U91</f>
        <v>867417100.87003589</v>
      </c>
      <c r="V5" s="7">
        <f t="shared" ref="V5:V15" si="17">IF(U5=0, "", U5-T5)</f>
        <v>0</v>
      </c>
      <c r="W5" s="43"/>
      <c r="X5" s="87">
        <v>21128304.29999942</v>
      </c>
      <c r="Y5" s="41">
        <v>21128304.29999942</v>
      </c>
      <c r="Z5" s="28">
        <f t="shared" ref="Z5:Z15" si="18">IF(Y5=0, "", Y5-X5)</f>
        <v>0</v>
      </c>
      <c r="AA5" s="34">
        <v>40134361.130000003</v>
      </c>
      <c r="AB5" s="69">
        <v>40134361.130000003</v>
      </c>
      <c r="AC5" s="7">
        <f t="shared" ref="AC5:AC15" si="19">IF(AB5=0, "", AB5-AA5)</f>
        <v>0</v>
      </c>
      <c r="AH5" s="127"/>
      <c r="AI5" s="225" t="s">
        <v>102</v>
      </c>
      <c r="AJ5" s="226"/>
      <c r="AK5" s="227" t="s">
        <v>12</v>
      </c>
      <c r="AL5" s="129"/>
    </row>
    <row r="6" spans="1:38" s="5" customFormat="1" outlineLevel="1" x14ac:dyDescent="0.3">
      <c r="A6" s="88" t="s">
        <v>8</v>
      </c>
      <c r="B6" s="55"/>
      <c r="C6" s="232">
        <f t="shared" si="2"/>
        <v>23380</v>
      </c>
      <c r="D6" s="232">
        <f t="shared" si="3"/>
        <v>23380</v>
      </c>
      <c r="E6" s="232">
        <f t="shared" si="4"/>
        <v>0</v>
      </c>
      <c r="F6" s="232">
        <f t="shared" si="5"/>
        <v>24306</v>
      </c>
      <c r="G6" s="232">
        <f t="shared" si="6"/>
        <v>24306</v>
      </c>
      <c r="H6" s="232">
        <f t="shared" si="7"/>
        <v>0</v>
      </c>
      <c r="I6" s="43"/>
      <c r="J6" s="88">
        <f t="shared" si="0"/>
        <v>118592841.60000287</v>
      </c>
      <c r="K6" s="41">
        <f t="shared" si="8"/>
        <v>118592841.60000287</v>
      </c>
      <c r="L6" s="28">
        <f t="shared" si="9"/>
        <v>0</v>
      </c>
      <c r="M6" s="35">
        <f t="shared" si="1"/>
        <v>128818667</v>
      </c>
      <c r="N6" s="37">
        <f t="shared" si="10"/>
        <v>128818667</v>
      </c>
      <c r="O6" s="7">
        <f t="shared" si="11"/>
        <v>0</v>
      </c>
      <c r="P6" s="43"/>
      <c r="Q6" s="88">
        <f t="shared" si="12"/>
        <v>942486316.52001202</v>
      </c>
      <c r="R6" s="41">
        <f t="shared" si="13"/>
        <v>942486316.52001202</v>
      </c>
      <c r="S6" s="28">
        <f t="shared" si="14"/>
        <v>0</v>
      </c>
      <c r="T6" s="35">
        <f t="shared" si="15"/>
        <v>978741273.72003412</v>
      </c>
      <c r="U6" s="37">
        <f t="shared" si="16"/>
        <v>978741273.72003412</v>
      </c>
      <c r="V6" s="7">
        <f t="shared" si="17"/>
        <v>0</v>
      </c>
      <c r="W6" s="43"/>
      <c r="X6" s="88">
        <v>23726833.479999583</v>
      </c>
      <c r="Y6" s="41">
        <v>23726833.479999583</v>
      </c>
      <c r="Z6" s="28">
        <f t="shared" si="18"/>
        <v>0</v>
      </c>
      <c r="AA6" s="35">
        <v>90064593.870000005</v>
      </c>
      <c r="AB6" s="37">
        <v>90064593.870000005</v>
      </c>
      <c r="AC6" s="7">
        <f t="shared" si="19"/>
        <v>0</v>
      </c>
      <c r="AH6" s="127"/>
      <c r="AI6" s="128"/>
      <c r="AJ6" s="128"/>
      <c r="AK6" s="128"/>
      <c r="AL6" s="129"/>
    </row>
    <row r="7" spans="1:38" s="5" customFormat="1" outlineLevel="1" x14ac:dyDescent="0.3">
      <c r="A7" s="89" t="s">
        <v>9</v>
      </c>
      <c r="B7" s="55"/>
      <c r="C7" s="232">
        <f t="shared" si="2"/>
        <v>23942</v>
      </c>
      <c r="D7" s="232">
        <f t="shared" si="3"/>
        <v>23956</v>
      </c>
      <c r="E7" s="232">
        <f t="shared" si="4"/>
        <v>14</v>
      </c>
      <c r="F7" s="232">
        <f t="shared" si="5"/>
        <v>24070</v>
      </c>
      <c r="G7" s="232">
        <f t="shared" si="6"/>
        <v>22593</v>
      </c>
      <c r="H7" s="232">
        <f t="shared" si="7"/>
        <v>-1477</v>
      </c>
      <c r="I7" s="43"/>
      <c r="J7" s="89">
        <f t="shared" si="0"/>
        <v>110420504</v>
      </c>
      <c r="K7" s="41">
        <f t="shared" si="8"/>
        <v>119048902.87000655</v>
      </c>
      <c r="L7" s="28">
        <f t="shared" si="9"/>
        <v>8628398.8700065464</v>
      </c>
      <c r="M7" s="35">
        <f t="shared" si="1"/>
        <v>113104930</v>
      </c>
      <c r="N7" s="37">
        <f t="shared" si="10"/>
        <v>119742900</v>
      </c>
      <c r="O7" s="7">
        <f t="shared" si="11"/>
        <v>6637970</v>
      </c>
      <c r="P7" s="53"/>
      <c r="Q7" s="89">
        <f t="shared" si="12"/>
        <v>960626611.50000024</v>
      </c>
      <c r="R7" s="41">
        <f t="shared" si="13"/>
        <v>961921798.75000668</v>
      </c>
      <c r="S7" s="28">
        <f t="shared" si="14"/>
        <v>1295187.2500064373</v>
      </c>
      <c r="T7" s="35">
        <f t="shared" si="15"/>
        <v>966911047.29000008</v>
      </c>
      <c r="U7" s="37">
        <f t="shared" si="16"/>
        <v>911257419.18001199</v>
      </c>
      <c r="V7" s="7">
        <f t="shared" si="17"/>
        <v>-55653628.109988093</v>
      </c>
      <c r="W7" s="43"/>
      <c r="X7" s="89">
        <v>17615839</v>
      </c>
      <c r="Y7" s="41">
        <v>22219367.799999833</v>
      </c>
      <c r="Z7" s="28">
        <f t="shared" si="18"/>
        <v>4603528.7999998331</v>
      </c>
      <c r="AA7" s="35">
        <v>17964366.215525802</v>
      </c>
      <c r="AB7" s="37">
        <v>46278297.259999998</v>
      </c>
      <c r="AC7" s="7">
        <f t="shared" si="19"/>
        <v>28313931.044474196</v>
      </c>
      <c r="AH7" s="139"/>
      <c r="AI7" s="140"/>
      <c r="AJ7" s="140"/>
      <c r="AK7" s="140"/>
      <c r="AL7" s="141"/>
    </row>
    <row r="8" spans="1:38" s="5" customFormat="1" outlineLevel="1" x14ac:dyDescent="0.3">
      <c r="A8" s="94" t="s">
        <v>10</v>
      </c>
      <c r="B8" s="55"/>
      <c r="C8" s="233">
        <f t="shared" si="2"/>
        <v>23128</v>
      </c>
      <c r="D8" s="233">
        <f t="shared" si="3"/>
        <v>23018</v>
      </c>
      <c r="E8" s="233">
        <f t="shared" si="4"/>
        <v>-110</v>
      </c>
      <c r="F8" s="233">
        <f t="shared" si="5"/>
        <v>23557</v>
      </c>
      <c r="G8" s="233">
        <f t="shared" si="6"/>
        <v>23644</v>
      </c>
      <c r="H8" s="233">
        <f t="shared" si="7"/>
        <v>87</v>
      </c>
      <c r="I8" s="43"/>
      <c r="J8" s="94">
        <f t="shared" si="0"/>
        <v>106666336</v>
      </c>
      <c r="K8" s="41">
        <f t="shared" si="8"/>
        <v>103760668.91999614</v>
      </c>
      <c r="L8" s="39">
        <f t="shared" si="9"/>
        <v>-2905667.0800038576</v>
      </c>
      <c r="M8" s="35">
        <f t="shared" si="1"/>
        <v>110694343</v>
      </c>
      <c r="N8" s="37">
        <f t="shared" si="10"/>
        <v>111000385</v>
      </c>
      <c r="O8" s="29">
        <f t="shared" si="11"/>
        <v>306042</v>
      </c>
      <c r="P8" s="43"/>
      <c r="Q8" s="94">
        <f t="shared" si="12"/>
        <v>909742132.05000007</v>
      </c>
      <c r="R8" s="41">
        <f t="shared" si="13"/>
        <v>907666127.23999405</v>
      </c>
      <c r="S8" s="11">
        <f t="shared" si="14"/>
        <v>-2076004.8100060225</v>
      </c>
      <c r="T8" s="35">
        <f t="shared" si="15"/>
        <v>926897934.02999997</v>
      </c>
      <c r="U8" s="37">
        <f t="shared" si="16"/>
        <v>935714348.54000497</v>
      </c>
      <c r="V8" s="29">
        <f t="shared" si="17"/>
        <v>8816414.5100049973</v>
      </c>
      <c r="W8" s="43"/>
      <c r="X8" s="94">
        <v>17422993</v>
      </c>
      <c r="Y8" s="41">
        <v>17645660.189999506</v>
      </c>
      <c r="Z8" s="11">
        <f t="shared" si="18"/>
        <v>222667.18999950588</v>
      </c>
      <c r="AA8" s="35">
        <v>17726889.215525802</v>
      </c>
      <c r="AB8" s="37">
        <v>29748661.870000001</v>
      </c>
      <c r="AC8" s="29">
        <f t="shared" si="19"/>
        <v>12021772.654474199</v>
      </c>
      <c r="AH8" s="128"/>
      <c r="AI8" s="128"/>
      <c r="AJ8" s="128"/>
      <c r="AK8" s="128"/>
      <c r="AL8" s="128"/>
    </row>
    <row r="9" spans="1:38" s="5" customFormat="1" outlineLevel="1" x14ac:dyDescent="0.3">
      <c r="A9" s="90" t="s">
        <v>11</v>
      </c>
      <c r="B9" s="55"/>
      <c r="C9" s="233">
        <f t="shared" si="2"/>
        <v>21885</v>
      </c>
      <c r="D9" s="233">
        <f t="shared" si="3"/>
        <v>22277</v>
      </c>
      <c r="E9" s="233">
        <f t="shared" si="4"/>
        <v>392</v>
      </c>
      <c r="F9" s="233">
        <f t="shared" si="5"/>
        <v>22349</v>
      </c>
      <c r="G9" s="233">
        <f t="shared" si="6"/>
        <v>18860</v>
      </c>
      <c r="H9" s="233">
        <f t="shared" si="7"/>
        <v>-3489</v>
      </c>
      <c r="I9" s="43"/>
      <c r="J9" s="90">
        <f t="shared" si="0"/>
        <v>100933620</v>
      </c>
      <c r="K9" s="41">
        <f t="shared" si="8"/>
        <v>100721445.37999843</v>
      </c>
      <c r="L9" s="39">
        <f t="shared" si="9"/>
        <v>-212174.62000156939</v>
      </c>
      <c r="M9" s="35">
        <f t="shared" si="1"/>
        <v>105017951</v>
      </c>
      <c r="N9" s="37">
        <f t="shared" si="10"/>
        <v>88623140</v>
      </c>
      <c r="O9" s="29">
        <f t="shared" si="11"/>
        <v>-16394811</v>
      </c>
      <c r="P9" s="43"/>
      <c r="Q9" s="90">
        <f t="shared" si="12"/>
        <v>866000564.82000017</v>
      </c>
      <c r="R9" s="41">
        <f t="shared" si="13"/>
        <v>904251393.01000643</v>
      </c>
      <c r="S9" s="11">
        <f t="shared" si="14"/>
        <v>38250828.190006256</v>
      </c>
      <c r="T9" s="35">
        <f t="shared" si="15"/>
        <v>885496388.49000013</v>
      </c>
      <c r="U9" s="37">
        <f t="shared" si="16"/>
        <v>767907508.90998638</v>
      </c>
      <c r="V9" s="29">
        <f t="shared" si="17"/>
        <v>-117588879.58001375</v>
      </c>
      <c r="W9" s="43"/>
      <c r="X9" s="90">
        <v>16454387</v>
      </c>
      <c r="Y9" s="41">
        <v>14358589.119999405</v>
      </c>
      <c r="Z9" s="11">
        <f t="shared" si="18"/>
        <v>-2095797.880000595</v>
      </c>
      <c r="AA9" s="35">
        <v>16653187.215525802</v>
      </c>
      <c r="AB9" s="37">
        <v>18991647.559999999</v>
      </c>
      <c r="AC9" s="29">
        <f t="shared" si="19"/>
        <v>2338460.3444741964</v>
      </c>
      <c r="AH9" s="128"/>
      <c r="AI9" s="128"/>
      <c r="AJ9" s="128"/>
      <c r="AK9" s="128"/>
      <c r="AL9" s="128"/>
    </row>
    <row r="10" spans="1:38" s="5" customFormat="1" outlineLevel="1" x14ac:dyDescent="0.3">
      <c r="A10" s="91" t="s">
        <v>12</v>
      </c>
      <c r="B10" s="55"/>
      <c r="C10" s="233">
        <f t="shared" si="2"/>
        <v>13994</v>
      </c>
      <c r="D10" s="233">
        <f t="shared" si="3"/>
        <v>15435</v>
      </c>
      <c r="E10" s="233">
        <f t="shared" si="4"/>
        <v>1441</v>
      </c>
      <c r="F10" s="233">
        <f t="shared" si="5"/>
        <v>15533</v>
      </c>
      <c r="G10" s="233">
        <f t="shared" si="6"/>
        <v>19588</v>
      </c>
      <c r="H10" s="233">
        <f t="shared" si="7"/>
        <v>4055</v>
      </c>
      <c r="I10" s="43"/>
      <c r="J10" s="91">
        <f t="shared" si="0"/>
        <v>64540328</v>
      </c>
      <c r="K10" s="41">
        <f t="shared" si="8"/>
        <v>70254591.340000644</v>
      </c>
      <c r="L10" s="39">
        <f t="shared" si="9"/>
        <v>5714263.3400006443</v>
      </c>
      <c r="M10" s="35">
        <f t="shared" si="1"/>
        <v>72989567</v>
      </c>
      <c r="N10" s="37">
        <f t="shared" si="10"/>
        <v>92044012</v>
      </c>
      <c r="O10" s="29">
        <f t="shared" si="11"/>
        <v>19054445</v>
      </c>
      <c r="P10" s="43"/>
      <c r="Q10" s="91">
        <f t="shared" si="12"/>
        <v>576323490.33000004</v>
      </c>
      <c r="R10" s="41">
        <f t="shared" si="13"/>
        <v>654683617.89999819</v>
      </c>
      <c r="S10" s="11">
        <f t="shared" si="14"/>
        <v>78360127.569998145</v>
      </c>
      <c r="T10" s="35">
        <f t="shared" si="15"/>
        <v>635253258.72000003</v>
      </c>
      <c r="U10" s="37">
        <f t="shared" si="16"/>
        <v>808536309.18996644</v>
      </c>
      <c r="V10" s="29">
        <f t="shared" si="17"/>
        <v>173283050.46996641</v>
      </c>
      <c r="W10" s="43"/>
      <c r="X10" s="91">
        <v>11237110</v>
      </c>
      <c r="Y10" s="41">
        <v>14910798.320000004</v>
      </c>
      <c r="Z10" s="11">
        <f t="shared" si="18"/>
        <v>3673688.320000004</v>
      </c>
      <c r="AA10" s="35">
        <v>10842918.215525802</v>
      </c>
      <c r="AB10" s="37">
        <v>-13804670.91</v>
      </c>
      <c r="AC10" s="29">
        <f t="shared" si="19"/>
        <v>-24647589.125525802</v>
      </c>
      <c r="AH10" s="128"/>
      <c r="AI10" s="128"/>
      <c r="AJ10" s="128"/>
      <c r="AK10" s="128"/>
      <c r="AL10" s="128"/>
    </row>
    <row r="11" spans="1:38" s="5" customFormat="1" outlineLevel="1" x14ac:dyDescent="0.3">
      <c r="A11" s="92" t="s">
        <v>23</v>
      </c>
      <c r="B11" s="55"/>
      <c r="C11" s="233">
        <f t="shared" si="2"/>
        <v>22606</v>
      </c>
      <c r="D11" s="233">
        <f t="shared" si="3"/>
        <v>0</v>
      </c>
      <c r="E11" s="233" t="str">
        <f t="shared" si="4"/>
        <v/>
      </c>
      <c r="F11" s="233">
        <f t="shared" si="5"/>
        <v>23525</v>
      </c>
      <c r="G11" s="233">
        <f t="shared" si="6"/>
        <v>0</v>
      </c>
      <c r="H11" s="233" t="str">
        <f t="shared" si="7"/>
        <v/>
      </c>
      <c r="I11" s="43"/>
      <c r="J11" s="92">
        <f t="shared" si="0"/>
        <v>104258872</v>
      </c>
      <c r="K11" s="41">
        <f t="shared" si="8"/>
        <v>0</v>
      </c>
      <c r="L11" s="39" t="str">
        <f t="shared" si="9"/>
        <v/>
      </c>
      <c r="M11" s="35">
        <f t="shared" si="1"/>
        <v>110543975</v>
      </c>
      <c r="N11" s="37">
        <f t="shared" si="10"/>
        <v>0</v>
      </c>
      <c r="O11" s="29" t="str">
        <f t="shared" si="11"/>
        <v/>
      </c>
      <c r="P11" s="43"/>
      <c r="Q11" s="92">
        <f t="shared" si="12"/>
        <v>912975082.25999999</v>
      </c>
      <c r="R11" s="41">
        <f t="shared" si="13"/>
        <v>0</v>
      </c>
      <c r="S11" s="11" t="str">
        <f t="shared" si="14"/>
        <v/>
      </c>
      <c r="T11" s="35">
        <f t="shared" si="15"/>
        <v>946826461.11000013</v>
      </c>
      <c r="U11" s="37">
        <f t="shared" si="16"/>
        <v>0</v>
      </c>
      <c r="V11" s="29" t="str">
        <f t="shared" si="17"/>
        <v/>
      </c>
      <c r="W11" s="43"/>
      <c r="X11" s="92">
        <v>17187439</v>
      </c>
      <c r="Y11" s="41"/>
      <c r="Z11" s="11" t="str">
        <f t="shared" si="18"/>
        <v/>
      </c>
      <c r="AA11" s="35">
        <v>17488551.215525802</v>
      </c>
      <c r="AB11" s="37"/>
      <c r="AC11" s="29" t="str">
        <f t="shared" si="19"/>
        <v/>
      </c>
      <c r="AH11" s="128"/>
      <c r="AI11" s="128"/>
      <c r="AJ11" s="128"/>
      <c r="AK11" s="128"/>
      <c r="AL11" s="128"/>
    </row>
    <row r="12" spans="1:38" s="5" customFormat="1" outlineLevel="1" x14ac:dyDescent="0.3">
      <c r="A12" s="93" t="s">
        <v>24</v>
      </c>
      <c r="B12" s="55"/>
      <c r="C12" s="233">
        <f t="shared" si="2"/>
        <v>23676</v>
      </c>
      <c r="D12" s="233">
        <f t="shared" si="3"/>
        <v>0</v>
      </c>
      <c r="E12" s="233" t="str">
        <f t="shared" si="4"/>
        <v/>
      </c>
      <c r="F12" s="233">
        <f t="shared" si="5"/>
        <v>23615</v>
      </c>
      <c r="G12" s="233">
        <f t="shared" si="6"/>
        <v>0</v>
      </c>
      <c r="H12" s="233" t="str">
        <f t="shared" si="7"/>
        <v/>
      </c>
      <c r="I12" s="43"/>
      <c r="J12" s="93">
        <f t="shared" si="0"/>
        <v>109193712</v>
      </c>
      <c r="K12" s="41">
        <f t="shared" si="8"/>
        <v>0</v>
      </c>
      <c r="L12" s="39" t="str">
        <f t="shared" si="9"/>
        <v/>
      </c>
      <c r="M12" s="35">
        <f t="shared" si="1"/>
        <v>110966885</v>
      </c>
      <c r="N12" s="37">
        <f t="shared" si="10"/>
        <v>0</v>
      </c>
      <c r="O12" s="29" t="str">
        <f t="shared" si="11"/>
        <v/>
      </c>
      <c r="P12" s="43"/>
      <c r="Q12" s="93">
        <f t="shared" si="12"/>
        <v>948463455.9000001</v>
      </c>
      <c r="R12" s="41">
        <f t="shared" si="13"/>
        <v>0</v>
      </c>
      <c r="S12" s="11" t="str">
        <f t="shared" si="14"/>
        <v/>
      </c>
      <c r="T12" s="35">
        <f t="shared" si="15"/>
        <v>946329065.82000005</v>
      </c>
      <c r="U12" s="37">
        <f t="shared" si="16"/>
        <v>0</v>
      </c>
      <c r="V12" s="29" t="str">
        <f t="shared" si="17"/>
        <v/>
      </c>
      <c r="W12" s="43"/>
      <c r="X12" s="93">
        <v>17298584</v>
      </c>
      <c r="Y12" s="41"/>
      <c r="Z12" s="11" t="str">
        <f t="shared" si="18"/>
        <v/>
      </c>
      <c r="AA12" s="35">
        <v>17607526.215525921</v>
      </c>
      <c r="AB12" s="37"/>
      <c r="AC12" s="29" t="str">
        <f t="shared" si="19"/>
        <v/>
      </c>
      <c r="AH12" s="128"/>
      <c r="AI12" s="128"/>
      <c r="AJ12" s="128"/>
      <c r="AK12" s="128"/>
      <c r="AL12" s="128"/>
    </row>
    <row r="13" spans="1:38" s="5" customFormat="1" outlineLevel="1" x14ac:dyDescent="0.3">
      <c r="A13" s="96" t="s">
        <v>25</v>
      </c>
      <c r="B13" s="55"/>
      <c r="C13" s="234">
        <f t="shared" si="2"/>
        <v>24859</v>
      </c>
      <c r="D13" s="234">
        <f t="shared" si="3"/>
        <v>0</v>
      </c>
      <c r="E13" s="234" t="str">
        <f t="shared" si="4"/>
        <v/>
      </c>
      <c r="F13" s="234">
        <f t="shared" si="5"/>
        <v>24587</v>
      </c>
      <c r="G13" s="234">
        <f t="shared" si="6"/>
        <v>0</v>
      </c>
      <c r="H13" s="234" t="str">
        <f t="shared" si="7"/>
        <v/>
      </c>
      <c r="I13" s="43"/>
      <c r="J13" s="96">
        <f t="shared" si="0"/>
        <v>114649708</v>
      </c>
      <c r="K13" s="41">
        <f t="shared" si="8"/>
        <v>0</v>
      </c>
      <c r="L13" s="12" t="str">
        <f t="shared" si="9"/>
        <v/>
      </c>
      <c r="M13" s="35">
        <f t="shared" si="1"/>
        <v>115534313</v>
      </c>
      <c r="N13" s="37">
        <f t="shared" si="10"/>
        <v>0</v>
      </c>
      <c r="O13" s="30" t="str">
        <f t="shared" si="11"/>
        <v/>
      </c>
      <c r="P13" s="43"/>
      <c r="Q13" s="96">
        <f t="shared" si="12"/>
        <v>991408682.6700002</v>
      </c>
      <c r="R13" s="41">
        <f t="shared" si="13"/>
        <v>0</v>
      </c>
      <c r="S13" s="12" t="str">
        <f t="shared" si="14"/>
        <v/>
      </c>
      <c r="T13" s="35">
        <f t="shared" si="15"/>
        <v>980943312.18000007</v>
      </c>
      <c r="U13" s="37">
        <f t="shared" si="16"/>
        <v>0</v>
      </c>
      <c r="V13" s="30" t="str">
        <f t="shared" si="17"/>
        <v/>
      </c>
      <c r="W13" s="43"/>
      <c r="X13" s="96">
        <v>18057643</v>
      </c>
      <c r="Y13" s="41"/>
      <c r="Z13" s="12" t="str">
        <f t="shared" si="18"/>
        <v/>
      </c>
      <c r="AA13" s="35">
        <v>18451149.215525802</v>
      </c>
      <c r="AB13" s="37"/>
      <c r="AC13" s="30" t="str">
        <f t="shared" si="19"/>
        <v/>
      </c>
      <c r="AH13" s="128"/>
      <c r="AI13" s="128"/>
      <c r="AJ13" s="128"/>
      <c r="AK13" s="128"/>
      <c r="AL13" s="128"/>
    </row>
    <row r="14" spans="1:38" s="5" customFormat="1" outlineLevel="1" x14ac:dyDescent="0.3">
      <c r="A14" s="95" t="s">
        <v>26</v>
      </c>
      <c r="B14" s="55"/>
      <c r="C14" s="234">
        <f t="shared" si="2"/>
        <v>22470</v>
      </c>
      <c r="D14" s="234">
        <f t="shared" si="3"/>
        <v>0</v>
      </c>
      <c r="E14" s="234" t="str">
        <f t="shared" si="4"/>
        <v/>
      </c>
      <c r="F14" s="234">
        <f t="shared" si="5"/>
        <v>22345</v>
      </c>
      <c r="G14" s="234">
        <f t="shared" si="6"/>
        <v>0</v>
      </c>
      <c r="H14" s="234" t="str">
        <f t="shared" si="7"/>
        <v/>
      </c>
      <c r="I14" s="43"/>
      <c r="J14" s="95">
        <f t="shared" si="0"/>
        <v>103631640</v>
      </c>
      <c r="K14" s="41">
        <f t="shared" si="8"/>
        <v>0</v>
      </c>
      <c r="L14" s="12" t="str">
        <f t="shared" si="9"/>
        <v/>
      </c>
      <c r="M14" s="35">
        <f t="shared" si="1"/>
        <v>104999155</v>
      </c>
      <c r="N14" s="37">
        <f t="shared" si="10"/>
        <v>0</v>
      </c>
      <c r="O14" s="30" t="str">
        <f t="shared" si="11"/>
        <v/>
      </c>
      <c r="P14" s="43"/>
      <c r="Q14" s="95">
        <f t="shared" si="12"/>
        <v>895546711.17000008</v>
      </c>
      <c r="R14" s="41">
        <f t="shared" si="13"/>
        <v>0</v>
      </c>
      <c r="S14" s="12" t="str">
        <f t="shared" si="14"/>
        <v/>
      </c>
      <c r="T14" s="35">
        <f t="shared" si="15"/>
        <v>894150549.75</v>
      </c>
      <c r="U14" s="37">
        <f t="shared" si="16"/>
        <v>0</v>
      </c>
      <c r="V14" s="30" t="str">
        <f t="shared" si="17"/>
        <v/>
      </c>
      <c r="W14" s="43"/>
      <c r="X14" s="95">
        <v>16381803</v>
      </c>
      <c r="Y14" s="41"/>
      <c r="Z14" s="12" t="str">
        <f t="shared" si="18"/>
        <v/>
      </c>
      <c r="AA14" s="35">
        <v>16580255.215525921</v>
      </c>
      <c r="AB14" s="37"/>
      <c r="AC14" s="30" t="str">
        <f t="shared" si="19"/>
        <v/>
      </c>
      <c r="AH14" s="128"/>
      <c r="AI14" s="128"/>
      <c r="AJ14" s="128"/>
      <c r="AK14" s="128"/>
      <c r="AL14" s="128"/>
    </row>
    <row r="15" spans="1:38" s="5" customFormat="1" outlineLevel="1" x14ac:dyDescent="0.3">
      <c r="A15" s="97" t="s">
        <v>27</v>
      </c>
      <c r="B15" s="55"/>
      <c r="C15" s="235">
        <f t="shared" si="2"/>
        <v>19455</v>
      </c>
      <c r="D15" s="235">
        <f t="shared" si="3"/>
        <v>0</v>
      </c>
      <c r="E15" s="235" t="str">
        <f t="shared" si="4"/>
        <v/>
      </c>
      <c r="F15" s="235">
        <f t="shared" si="5"/>
        <v>17470</v>
      </c>
      <c r="G15" s="235">
        <f t="shared" si="6"/>
        <v>0</v>
      </c>
      <c r="H15" s="235" t="str">
        <f t="shared" si="7"/>
        <v/>
      </c>
      <c r="I15" s="43"/>
      <c r="J15" s="97">
        <f t="shared" si="0"/>
        <v>89726460</v>
      </c>
      <c r="K15" s="41">
        <f t="shared" si="8"/>
        <v>0</v>
      </c>
      <c r="L15" s="12" t="str">
        <f t="shared" si="9"/>
        <v/>
      </c>
      <c r="M15" s="36">
        <f t="shared" si="1"/>
        <v>82091530</v>
      </c>
      <c r="N15" s="68">
        <f t="shared" si="10"/>
        <v>0</v>
      </c>
      <c r="O15" s="31" t="str">
        <f t="shared" si="11"/>
        <v/>
      </c>
      <c r="P15" s="43"/>
      <c r="Q15" s="97">
        <f t="shared" si="12"/>
        <v>774539200.88999999</v>
      </c>
      <c r="R15" s="41">
        <f t="shared" si="13"/>
        <v>0</v>
      </c>
      <c r="S15" s="13" t="str">
        <f t="shared" si="14"/>
        <v/>
      </c>
      <c r="T15" s="36">
        <f t="shared" si="15"/>
        <v>696190632.63000011</v>
      </c>
      <c r="U15" s="68">
        <f t="shared" si="16"/>
        <v>0</v>
      </c>
      <c r="V15" s="31" t="str">
        <f t="shared" si="17"/>
        <v/>
      </c>
      <c r="W15" s="43"/>
      <c r="X15" s="97">
        <v>12839044</v>
      </c>
      <c r="Y15" s="41"/>
      <c r="Z15" s="13" t="str">
        <f t="shared" si="18"/>
        <v/>
      </c>
      <c r="AA15" s="36">
        <v>12613371.215525802</v>
      </c>
      <c r="AB15" s="68"/>
      <c r="AC15" s="31" t="str">
        <f t="shared" si="19"/>
        <v/>
      </c>
      <c r="AH15" s="128"/>
      <c r="AI15" s="128"/>
      <c r="AJ15" s="128"/>
      <c r="AK15" s="128"/>
      <c r="AL15" s="128"/>
    </row>
    <row r="16" spans="1:38" s="5" customFormat="1" outlineLevel="1" x14ac:dyDescent="0.3">
      <c r="A16" s="24" t="s">
        <v>0</v>
      </c>
      <c r="B16" s="55"/>
      <c r="C16" s="25">
        <f t="shared" ref="C16:H16" si="20">SUM(C4:C15)</f>
        <v>260969</v>
      </c>
      <c r="D16" s="26">
        <f t="shared" si="20"/>
        <v>149640</v>
      </c>
      <c r="E16" s="26">
        <f t="shared" si="20"/>
        <v>1737</v>
      </c>
      <c r="F16" s="26">
        <f t="shared" si="20"/>
        <v>262458</v>
      </c>
      <c r="G16" s="26">
        <f t="shared" si="20"/>
        <v>150092</v>
      </c>
      <c r="H16" s="26">
        <f t="shared" si="20"/>
        <v>-824</v>
      </c>
      <c r="I16" s="43"/>
      <c r="J16" s="25">
        <f>SUM(J4:J15)</f>
        <v>1234586104.0200081</v>
      </c>
      <c r="K16" s="26">
        <f t="shared" ref="K16:Q16" si="21">SUM(K4:K15)</f>
        <v>724350532.53000998</v>
      </c>
      <c r="L16" s="26">
        <f t="shared" si="21"/>
        <v>11224820.510001764</v>
      </c>
      <c r="M16" s="26">
        <f t="shared" si="21"/>
        <v>1272572188</v>
      </c>
      <c r="N16" s="26">
        <f t="shared" si="21"/>
        <v>758039976</v>
      </c>
      <c r="O16" s="26">
        <f t="shared" si="21"/>
        <v>9603646</v>
      </c>
      <c r="P16" s="43"/>
      <c r="Q16" s="25">
        <f t="shared" si="21"/>
        <v>10449933926.520025</v>
      </c>
      <c r="R16" s="26">
        <f>SUM(R4:R15)</f>
        <v>6042830931.8300285</v>
      </c>
      <c r="S16" s="26">
        <f>SUM(S4:S15)</f>
        <v>115830138.20000482</v>
      </c>
      <c r="T16" s="26">
        <f t="shared" ref="T16" si="22">SUM(T4:T15)</f>
        <v>10519436155.260101</v>
      </c>
      <c r="U16" s="26">
        <f>SUM(U4:U15)</f>
        <v>6063853091.0600719</v>
      </c>
      <c r="V16" s="26">
        <f>SUM(V4:V15)</f>
        <v>8856957.2899695635</v>
      </c>
      <c r="W16" s="43"/>
      <c r="X16" s="25">
        <f t="shared" ref="X16:AC16" si="23">SUM(X4:X15)</f>
        <v>208667435.75999892</v>
      </c>
      <c r="Y16" s="26">
        <f t="shared" si="23"/>
        <v>133307009.18999769</v>
      </c>
      <c r="Z16" s="26">
        <f t="shared" si="23"/>
        <v>6404086.429998748</v>
      </c>
      <c r="AA16" s="26">
        <f t="shared" si="23"/>
        <v>269249705.47973245</v>
      </c>
      <c r="AB16" s="26">
        <f t="shared" si="23"/>
        <v>204535427.32000002</v>
      </c>
      <c r="AC16" s="26">
        <f t="shared" si="23"/>
        <v>18026574.917896792</v>
      </c>
      <c r="AH16" s="128"/>
      <c r="AI16" s="128"/>
      <c r="AJ16" s="128"/>
      <c r="AK16" s="128"/>
      <c r="AL16" s="128"/>
    </row>
    <row r="17" spans="1:38" s="5" customFormat="1" outlineLevel="1" x14ac:dyDescent="0.3">
      <c r="A17" s="2"/>
      <c r="B17" s="55"/>
      <c r="C17" s="3"/>
      <c r="D17" s="3"/>
      <c r="E17" s="3"/>
      <c r="F17" s="3"/>
      <c r="G17" s="3"/>
      <c r="H17" s="8"/>
      <c r="I17" s="21"/>
      <c r="J17" s="8"/>
      <c r="K17" s="8"/>
      <c r="L17" s="8"/>
      <c r="M17" s="8"/>
      <c r="N17" s="8"/>
      <c r="O17" s="42"/>
      <c r="P17" s="42"/>
      <c r="Q17" s="15"/>
      <c r="R17" s="15"/>
      <c r="S17" s="15"/>
      <c r="T17" s="15"/>
      <c r="U17" s="15"/>
      <c r="V17" s="42"/>
      <c r="W17" s="42"/>
      <c r="X17" s="16"/>
      <c r="Y17" s="16"/>
      <c r="Z17" s="16"/>
      <c r="AA17" s="16"/>
      <c r="AB17" s="16"/>
      <c r="AC17" s="16"/>
      <c r="AH17" s="128"/>
      <c r="AI17" s="128"/>
      <c r="AJ17" s="128"/>
      <c r="AK17" s="128"/>
      <c r="AL17" s="128"/>
    </row>
    <row r="18" spans="1:38" s="255" customFormat="1" outlineLevel="1" x14ac:dyDescent="0.3">
      <c r="A18" s="247" t="s">
        <v>103</v>
      </c>
      <c r="B18" s="248"/>
      <c r="C18" s="272" t="s">
        <v>108</v>
      </c>
      <c r="D18" s="273"/>
      <c r="E18" s="246">
        <f>+C16</f>
        <v>260969</v>
      </c>
      <c r="F18" s="249"/>
      <c r="G18" s="250"/>
      <c r="H18" s="251"/>
      <c r="I18" s="252"/>
      <c r="J18" s="270" t="s">
        <v>112</v>
      </c>
      <c r="K18" s="271"/>
      <c r="L18" s="245">
        <f>+J16</f>
        <v>1234586104.0200081</v>
      </c>
      <c r="M18" s="244"/>
      <c r="N18" s="245"/>
      <c r="O18" s="253"/>
      <c r="P18" s="248"/>
      <c r="Q18" s="270" t="s">
        <v>115</v>
      </c>
      <c r="R18" s="254"/>
      <c r="S18" s="265">
        <f>+Q16</f>
        <v>10449933926.520025</v>
      </c>
      <c r="T18" s="254"/>
      <c r="U18" s="258"/>
      <c r="V18" s="253"/>
      <c r="W18" s="248"/>
      <c r="X18" s="270" t="s">
        <v>119</v>
      </c>
      <c r="Y18" s="254"/>
      <c r="Z18" s="265">
        <f>+X16</f>
        <v>208667435.75999892</v>
      </c>
      <c r="AA18" s="254"/>
      <c r="AB18" s="278"/>
      <c r="AC18" s="253"/>
      <c r="AE18" s="281"/>
      <c r="AF18" s="281"/>
      <c r="AH18" s="256"/>
      <c r="AI18" s="256"/>
      <c r="AJ18" s="256"/>
      <c r="AK18" s="256"/>
      <c r="AL18" s="256"/>
    </row>
    <row r="19" spans="1:38" s="255" customFormat="1" outlineLevel="1" x14ac:dyDescent="0.3">
      <c r="A19" s="247"/>
      <c r="B19" s="248"/>
      <c r="C19" s="274" t="s">
        <v>109</v>
      </c>
      <c r="D19" s="275"/>
      <c r="E19" s="257"/>
      <c r="F19" s="257"/>
      <c r="G19" s="258">
        <f>+F16</f>
        <v>262458</v>
      </c>
      <c r="H19" s="253"/>
      <c r="I19" s="252"/>
      <c r="J19" s="270" t="s">
        <v>113</v>
      </c>
      <c r="K19" s="271"/>
      <c r="L19" s="244"/>
      <c r="M19" s="244"/>
      <c r="N19" s="246">
        <f>+M16</f>
        <v>1272572188</v>
      </c>
      <c r="O19" s="259"/>
      <c r="P19" s="248"/>
      <c r="Q19" s="270" t="s">
        <v>116</v>
      </c>
      <c r="R19" s="260"/>
      <c r="S19" s="244"/>
      <c r="T19" s="244"/>
      <c r="U19" s="276">
        <f>+T16</f>
        <v>10519436155.260101</v>
      </c>
      <c r="V19" s="261"/>
      <c r="W19" s="248"/>
      <c r="X19" s="270" t="s">
        <v>120</v>
      </c>
      <c r="Y19" s="260"/>
      <c r="Z19" s="244"/>
      <c r="AA19" s="244"/>
      <c r="AB19" s="279">
        <f>+AA16</f>
        <v>269249705.47973245</v>
      </c>
      <c r="AC19" s="261"/>
      <c r="AE19" s="282" t="s">
        <v>5</v>
      </c>
      <c r="AF19" s="281"/>
      <c r="AH19" s="256"/>
      <c r="AI19" s="256"/>
      <c r="AJ19" s="256"/>
      <c r="AK19" s="256"/>
      <c r="AL19" s="256"/>
    </row>
    <row r="20" spans="1:38" s="255" customFormat="1" outlineLevel="1" x14ac:dyDescent="0.3">
      <c r="A20" s="247"/>
      <c r="B20" s="248"/>
      <c r="C20" s="274" t="s">
        <v>110</v>
      </c>
      <c r="D20" s="275"/>
      <c r="E20" s="257">
        <f>+D16</f>
        <v>149640</v>
      </c>
      <c r="F20" s="257"/>
      <c r="G20" s="258">
        <f>+G16</f>
        <v>150092</v>
      </c>
      <c r="H20" s="262"/>
      <c r="I20" s="46"/>
      <c r="J20" s="270" t="s">
        <v>114</v>
      </c>
      <c r="K20" s="271"/>
      <c r="L20" s="245">
        <f>+K16</f>
        <v>724350532.53000998</v>
      </c>
      <c r="M20" s="244"/>
      <c r="N20" s="245">
        <f>+N16</f>
        <v>758039976</v>
      </c>
      <c r="O20" s="263"/>
      <c r="P20" s="248"/>
      <c r="Q20" s="270" t="s">
        <v>117</v>
      </c>
      <c r="R20" s="14"/>
      <c r="S20" s="245">
        <f>+R16</f>
        <v>6042830931.8300285</v>
      </c>
      <c r="T20" s="14"/>
      <c r="U20" s="277">
        <f>+U16</f>
        <v>6063853091.0600719</v>
      </c>
      <c r="V20" s="263"/>
      <c r="W20" s="248"/>
      <c r="X20" s="270" t="s">
        <v>121</v>
      </c>
      <c r="Y20" s="14"/>
      <c r="Z20" s="245">
        <f>+Y16</f>
        <v>133307009.18999769</v>
      </c>
      <c r="AA20" s="14"/>
      <c r="AB20" s="280">
        <f>+AB16</f>
        <v>204535427.32000002</v>
      </c>
      <c r="AC20" s="263"/>
      <c r="AE20" s="281" t="s">
        <v>0</v>
      </c>
      <c r="AF20" s="283">
        <f>+N20+U20+AB20</f>
        <v>7026428494.3800716</v>
      </c>
      <c r="AH20" s="256"/>
      <c r="AI20" s="256"/>
      <c r="AJ20" s="256"/>
      <c r="AK20" s="256"/>
      <c r="AL20" s="256"/>
    </row>
    <row r="21" spans="1:38" s="255" customFormat="1" outlineLevel="1" x14ac:dyDescent="0.3">
      <c r="A21" s="247"/>
      <c r="B21" s="248"/>
      <c r="C21" s="270" t="s">
        <v>111</v>
      </c>
      <c r="D21" s="271"/>
      <c r="E21" s="245">
        <f>+E18-E20</f>
        <v>111329</v>
      </c>
      <c r="F21" s="244"/>
      <c r="G21" s="245">
        <f>+G19-G20</f>
        <v>112366</v>
      </c>
      <c r="H21" s="261"/>
      <c r="I21" s="252"/>
      <c r="J21" s="270" t="s">
        <v>107</v>
      </c>
      <c r="K21" s="271"/>
      <c r="L21" s="245">
        <f>+L18+-L20</f>
        <v>510235571.4899981</v>
      </c>
      <c r="M21" s="244"/>
      <c r="N21" s="245">
        <f>+N19-N20</f>
        <v>514532212</v>
      </c>
      <c r="O21" s="264"/>
      <c r="P21" s="248"/>
      <c r="Q21" s="270" t="s">
        <v>118</v>
      </c>
      <c r="R21" s="265"/>
      <c r="S21" s="265">
        <f>+S18-S20</f>
        <v>4407102994.6899967</v>
      </c>
      <c r="T21" s="265"/>
      <c r="U21" s="276">
        <f>+U19-U20</f>
        <v>4455583064.2000294</v>
      </c>
      <c r="V21" s="264"/>
      <c r="W21" s="248"/>
      <c r="X21" s="270" t="s">
        <v>122</v>
      </c>
      <c r="Y21" s="265"/>
      <c r="Z21" s="265">
        <f>+Z18-Z20</f>
        <v>75360426.57000123</v>
      </c>
      <c r="AA21" s="265"/>
      <c r="AB21" s="279">
        <f>+AB19-AB20</f>
        <v>64714278.159732431</v>
      </c>
      <c r="AC21" s="264"/>
      <c r="AE21" s="281" t="s">
        <v>1</v>
      </c>
      <c r="AF21" s="284">
        <f>+N21+U21+AB21</f>
        <v>5034829554.3597622</v>
      </c>
      <c r="AH21" s="256"/>
      <c r="AI21" s="256"/>
      <c r="AJ21" s="256"/>
      <c r="AK21" s="256"/>
      <c r="AL21" s="256"/>
    </row>
    <row r="22" spans="1:38" x14ac:dyDescent="0.3">
      <c r="A22" s="83"/>
      <c r="B22" s="79"/>
      <c r="C22" s="56"/>
      <c r="D22" s="56"/>
      <c r="E22" s="56"/>
      <c r="F22" s="56"/>
      <c r="G22" s="56"/>
      <c r="H22" s="57"/>
      <c r="I22" s="47"/>
      <c r="J22" s="61">
        <f>IF(N22&gt;N24,1,IF(N22=N24,0,IF(N22&lt;N24,-1,0)))</f>
        <v>0</v>
      </c>
      <c r="K22" s="62"/>
      <c r="L22" s="142"/>
      <c r="M22" s="62"/>
      <c r="N22" s="70"/>
      <c r="O22" s="71"/>
      <c r="Q22" s="61">
        <f>IF(N22&gt;N24,1,IF(N22=N24,0,IF(N22&lt;N24,-1,0)))</f>
        <v>0</v>
      </c>
      <c r="R22" s="62"/>
      <c r="S22" s="142"/>
      <c r="T22" s="62"/>
      <c r="U22" s="70"/>
      <c r="V22" s="71"/>
      <c r="X22" s="61">
        <f>IF(N22&gt;N24,1,IF(N22=N24,0,IF(N22&lt;N24,-1,0)))</f>
        <v>0</v>
      </c>
      <c r="Y22" s="62"/>
      <c r="Z22" s="62"/>
      <c r="AA22" s="62"/>
      <c r="AB22" s="70"/>
      <c r="AC22" s="71"/>
      <c r="AE22" s="285" t="s">
        <v>2</v>
      </c>
      <c r="AF22" s="286">
        <f>+AF21/AF20</f>
        <v>0.71655600827458155</v>
      </c>
      <c r="AH22" s="18"/>
      <c r="AI22" s="18"/>
      <c r="AJ22" s="18"/>
      <c r="AK22" s="18"/>
      <c r="AL22" s="18"/>
    </row>
    <row r="23" spans="1:38" x14ac:dyDescent="0.3">
      <c r="A23" s="109"/>
      <c r="B23" s="82"/>
      <c r="C23" s="4"/>
      <c r="D23" s="4"/>
      <c r="E23" s="4"/>
      <c r="F23" s="4"/>
      <c r="G23" s="4"/>
      <c r="H23" s="58"/>
      <c r="I23" s="48"/>
      <c r="J23" s="63"/>
      <c r="K23" s="23"/>
      <c r="L23" s="23"/>
      <c r="M23" s="23"/>
      <c r="N23" s="4"/>
      <c r="O23" s="58"/>
      <c r="Q23" s="63"/>
      <c r="R23" s="23"/>
      <c r="S23" s="23"/>
      <c r="T23" s="23"/>
      <c r="U23" s="4"/>
      <c r="V23" s="58"/>
      <c r="X23" s="63"/>
      <c r="Y23" s="23"/>
      <c r="Z23" s="23"/>
      <c r="AA23" s="23"/>
      <c r="AB23" s="4"/>
      <c r="AC23" s="58"/>
      <c r="AE23" s="281" t="s">
        <v>3</v>
      </c>
      <c r="AF23" s="287"/>
      <c r="AH23" s="18"/>
      <c r="AI23" s="18"/>
      <c r="AJ23" s="18"/>
      <c r="AK23" s="18"/>
      <c r="AL23" s="18"/>
    </row>
    <row r="24" spans="1:38" x14ac:dyDescent="0.3">
      <c r="A24" s="238"/>
      <c r="B24" s="82"/>
      <c r="C24" s="4"/>
      <c r="D24" s="4"/>
      <c r="E24" s="4"/>
      <c r="F24" s="4"/>
      <c r="G24" s="4"/>
      <c r="H24" s="58"/>
      <c r="I24" s="48"/>
      <c r="J24" s="64"/>
      <c r="K24" s="65"/>
      <c r="L24" s="144"/>
      <c r="M24" s="65"/>
      <c r="N24" s="72"/>
      <c r="O24" s="73"/>
      <c r="Q24" s="64"/>
      <c r="R24" s="65"/>
      <c r="S24" s="65"/>
      <c r="T24" s="65"/>
      <c r="U24" s="72"/>
      <c r="V24" s="73"/>
      <c r="X24" s="64"/>
      <c r="Y24" s="65"/>
      <c r="Z24" s="65"/>
      <c r="AA24" s="65"/>
      <c r="AB24" s="72"/>
      <c r="AC24" s="73"/>
      <c r="AE24" s="281" t="s">
        <v>4</v>
      </c>
      <c r="AF24" s="286">
        <f>+AF21/AB20</f>
        <v>24.615928987610857</v>
      </c>
      <c r="AH24" s="18"/>
      <c r="AI24" s="18"/>
      <c r="AJ24" s="18"/>
      <c r="AK24" s="18"/>
      <c r="AL24" s="18"/>
    </row>
    <row r="25" spans="1:38" ht="15" thickBot="1" x14ac:dyDescent="0.35">
      <c r="A25" s="21"/>
      <c r="C25" s="21"/>
      <c r="D25" s="21"/>
      <c r="E25" s="21"/>
      <c r="F25" s="21"/>
      <c r="G25" s="21"/>
      <c r="H25" s="21"/>
      <c r="Q25" s="21"/>
      <c r="R25" s="21"/>
      <c r="S25" s="21"/>
      <c r="T25" s="21"/>
      <c r="U25" s="21"/>
      <c r="V25" s="21"/>
      <c r="X25" s="21"/>
      <c r="Y25" s="21"/>
      <c r="Z25" s="21"/>
      <c r="AA25" s="21"/>
      <c r="AB25" s="21"/>
      <c r="AC25" s="21"/>
      <c r="AE25" s="285"/>
      <c r="AF25" s="285"/>
      <c r="AH25" s="18"/>
      <c r="AI25" s="18"/>
      <c r="AJ25" s="18"/>
      <c r="AK25" s="18"/>
      <c r="AL25" s="18"/>
    </row>
    <row r="26" spans="1:38" ht="15" thickBot="1" x14ac:dyDescent="0.35">
      <c r="A26" s="240"/>
      <c r="B26" s="85"/>
      <c r="C26" s="237"/>
      <c r="D26" s="237"/>
      <c r="E26" s="241"/>
      <c r="F26" s="241"/>
      <c r="G26" s="242"/>
      <c r="H26" s="242"/>
      <c r="I26" s="49"/>
      <c r="J26" s="143" t="s">
        <v>56</v>
      </c>
      <c r="K26" s="74"/>
      <c r="L26" s="66"/>
      <c r="M26" s="66"/>
      <c r="N26" s="76">
        <v>4699</v>
      </c>
      <c r="O26" s="77"/>
      <c r="Q26" s="237"/>
      <c r="R26" s="237"/>
      <c r="S26" s="241"/>
      <c r="T26" s="241"/>
      <c r="U26" s="242"/>
      <c r="V26" s="242"/>
      <c r="W26" s="52"/>
      <c r="X26" s="237"/>
      <c r="Y26" s="338"/>
      <c r="Z26" s="241"/>
      <c r="AA26" s="241"/>
      <c r="AB26" s="242"/>
      <c r="AC26" s="242"/>
      <c r="AH26" s="18"/>
      <c r="AI26" s="18"/>
      <c r="AJ26" s="18"/>
      <c r="AK26" s="18"/>
      <c r="AL26" s="18"/>
    </row>
    <row r="27" spans="1:38" ht="15" thickBot="1" x14ac:dyDescent="0.35">
      <c r="A27" s="21"/>
      <c r="C27" s="21"/>
      <c r="D27" s="21"/>
      <c r="E27" s="21"/>
      <c r="F27" s="21"/>
      <c r="G27" s="21"/>
      <c r="H27" s="21"/>
      <c r="N27" s="133"/>
      <c r="Q27" s="21"/>
      <c r="R27" s="21"/>
      <c r="S27" s="21"/>
      <c r="T27" s="21"/>
      <c r="U27" s="21"/>
      <c r="V27" s="21"/>
      <c r="X27" s="21"/>
      <c r="Y27" s="21"/>
      <c r="Z27" s="21"/>
      <c r="AA27" s="21"/>
      <c r="AB27" s="21"/>
      <c r="AC27" s="21"/>
      <c r="AH27" s="18"/>
      <c r="AI27" s="18"/>
      <c r="AJ27" s="18"/>
      <c r="AK27" s="18"/>
      <c r="AL27" s="18"/>
    </row>
    <row r="28" spans="1:38" ht="15" thickBot="1" x14ac:dyDescent="0.35">
      <c r="A28" s="86"/>
      <c r="B28" s="86"/>
      <c r="C28" s="67"/>
      <c r="D28" s="67"/>
      <c r="E28" s="21"/>
      <c r="F28" s="21"/>
      <c r="G28" s="21"/>
      <c r="H28" s="21"/>
      <c r="J28" s="143" t="s">
        <v>57</v>
      </c>
      <c r="K28" s="74"/>
      <c r="L28" s="66"/>
      <c r="M28" s="66"/>
      <c r="N28" s="243">
        <v>4612</v>
      </c>
      <c r="O28" s="75"/>
      <c r="Q28" s="67"/>
      <c r="R28" s="67"/>
      <c r="S28" s="21"/>
      <c r="T28" s="21"/>
      <c r="U28" s="21"/>
      <c r="V28" s="21"/>
      <c r="W28" s="53"/>
      <c r="X28" s="67"/>
      <c r="Y28" s="67"/>
      <c r="Z28" s="21"/>
      <c r="AA28" s="21"/>
      <c r="AB28" s="21"/>
      <c r="AC28" s="21"/>
      <c r="AH28" s="18"/>
      <c r="AI28" s="18"/>
      <c r="AJ28" s="18"/>
      <c r="AK28" s="18"/>
      <c r="AL28" s="18"/>
    </row>
    <row r="29" spans="1:38" x14ac:dyDescent="0.3">
      <c r="A29" s="21"/>
      <c r="C29" s="21"/>
      <c r="D29" s="21"/>
      <c r="E29" s="21"/>
      <c r="F29" s="21"/>
      <c r="G29" s="21"/>
      <c r="H29" s="50"/>
      <c r="I29" s="50"/>
      <c r="Q29" s="21"/>
      <c r="R29" s="21"/>
      <c r="S29" s="21"/>
      <c r="T29" s="21"/>
      <c r="U29" s="21"/>
      <c r="V29" s="50"/>
      <c r="X29" s="21"/>
      <c r="Y29" s="21"/>
      <c r="Z29" s="21"/>
      <c r="AA29" s="21"/>
      <c r="AB29" s="21"/>
      <c r="AC29" s="50"/>
      <c r="AH29" s="18"/>
      <c r="AI29" s="18"/>
      <c r="AJ29" s="18"/>
      <c r="AK29" s="18"/>
      <c r="AL29" s="18"/>
    </row>
    <row r="30" spans="1:38" ht="45" customHeight="1" x14ac:dyDescent="0.3">
      <c r="A30" s="239" t="s">
        <v>22</v>
      </c>
      <c r="B30" s="54"/>
      <c r="C30" s="360" t="s">
        <v>164</v>
      </c>
      <c r="D30" s="361"/>
      <c r="E30" s="361"/>
      <c r="F30" s="361"/>
      <c r="G30" s="361"/>
      <c r="H30" s="362"/>
      <c r="I30" s="50"/>
      <c r="J30" s="357" t="s">
        <v>155</v>
      </c>
      <c r="K30" s="358"/>
      <c r="L30" s="358"/>
      <c r="M30" s="358"/>
      <c r="N30" s="358"/>
      <c r="O30" s="359"/>
      <c r="Q30" s="357" t="s">
        <v>159</v>
      </c>
      <c r="R30" s="358"/>
      <c r="S30" s="358"/>
      <c r="T30" s="358"/>
      <c r="U30" s="358"/>
      <c r="V30" s="359"/>
      <c r="W30" s="43"/>
    </row>
    <row r="31" spans="1:38" ht="46.2" customHeight="1" x14ac:dyDescent="0.3">
      <c r="A31" s="10"/>
      <c r="C31" s="80" t="s">
        <v>13</v>
      </c>
      <c r="D31" s="80" t="s">
        <v>14</v>
      </c>
      <c r="E31" s="80" t="s">
        <v>55</v>
      </c>
      <c r="F31" s="80" t="s">
        <v>16</v>
      </c>
      <c r="G31" s="80" t="s">
        <v>15</v>
      </c>
      <c r="H31" s="80" t="s">
        <v>55</v>
      </c>
      <c r="I31" s="50"/>
      <c r="J31" s="80" t="s">
        <v>105</v>
      </c>
      <c r="K31" s="81" t="s">
        <v>106</v>
      </c>
      <c r="L31" s="80" t="s">
        <v>55</v>
      </c>
      <c r="M31" s="80" t="s">
        <v>17</v>
      </c>
      <c r="N31" s="80" t="s">
        <v>18</v>
      </c>
      <c r="O31" s="80" t="s">
        <v>55</v>
      </c>
      <c r="Q31" s="80" t="s">
        <v>45</v>
      </c>
      <c r="R31" s="81" t="s">
        <v>46</v>
      </c>
      <c r="S31" s="80" t="s">
        <v>55</v>
      </c>
      <c r="T31" s="80" t="s">
        <v>47</v>
      </c>
      <c r="U31" s="80" t="s">
        <v>48</v>
      </c>
      <c r="V31" s="80" t="s">
        <v>55</v>
      </c>
      <c r="AD31" s="1"/>
    </row>
    <row r="32" spans="1:38" x14ac:dyDescent="0.3">
      <c r="A32" s="32" t="s">
        <v>6</v>
      </c>
      <c r="B32" s="55"/>
      <c r="C32" s="230">
        <v>11638</v>
      </c>
      <c r="D32" s="230">
        <v>11638</v>
      </c>
      <c r="E32" s="230">
        <f>IF(D32=0, "", D32-C32)</f>
        <v>0</v>
      </c>
      <c r="F32" s="230">
        <v>11058</v>
      </c>
      <c r="G32" s="230">
        <v>11058</v>
      </c>
      <c r="H32" s="230">
        <f>IF(G32=0, "", G32-F32)</f>
        <v>0</v>
      </c>
      <c r="I32" s="50"/>
      <c r="J32" s="32">
        <v>58938223.570003577</v>
      </c>
      <c r="K32" s="40">
        <v>58938223.570003577</v>
      </c>
      <c r="L32" s="27">
        <f>IF(K32=0, "", K32-J32)</f>
        <v>0</v>
      </c>
      <c r="M32" s="33">
        <v>58597789</v>
      </c>
      <c r="N32" s="38">
        <v>58597789</v>
      </c>
      <c r="O32" s="6">
        <f>IF(N32=0, "", N32-M32)</f>
        <v>0</v>
      </c>
      <c r="Q32" s="130">
        <v>426078989.60000241</v>
      </c>
      <c r="R32" s="40">
        <v>426078989.60000241</v>
      </c>
      <c r="S32" s="27">
        <f>IF(R32=0, "", R32-Q32)</f>
        <v>0</v>
      </c>
      <c r="T32" s="34">
        <v>409431796.25003016</v>
      </c>
      <c r="U32" s="38">
        <v>409431796.25003016</v>
      </c>
      <c r="V32" s="6">
        <f>IF(U32=0, "", U32-T32)</f>
        <v>0</v>
      </c>
    </row>
    <row r="33" spans="1:23" ht="14.4" customHeight="1" x14ac:dyDescent="0.3">
      <c r="A33" s="87" t="s">
        <v>7</v>
      </c>
      <c r="B33" s="55"/>
      <c r="C33" s="231">
        <v>11751</v>
      </c>
      <c r="D33" s="231">
        <v>11751</v>
      </c>
      <c r="E33" s="232">
        <f t="shared" ref="E33:E43" si="24">IF(D33=0, "", D33-C33)</f>
        <v>0</v>
      </c>
      <c r="F33" s="231">
        <v>12259</v>
      </c>
      <c r="G33" s="232">
        <v>12259</v>
      </c>
      <c r="H33" s="232">
        <f t="shared" ref="H33:H43" si="25">IF(G33=0, "", G33-F33)</f>
        <v>0</v>
      </c>
      <c r="J33" s="87">
        <v>59450511.680001028</v>
      </c>
      <c r="K33" s="41">
        <v>59450511.680001028</v>
      </c>
      <c r="L33" s="28">
        <f t="shared" ref="L33:L43" si="26">IF(K33=0, "", K33-J33)</f>
        <v>0</v>
      </c>
      <c r="M33" s="34">
        <v>64968185</v>
      </c>
      <c r="N33" s="69">
        <v>64968185</v>
      </c>
      <c r="O33" s="7">
        <f t="shared" ref="O33:O43" si="27">IF(N33=0, "", N33-M33)</f>
        <v>0</v>
      </c>
      <c r="Q33" s="87">
        <v>438821661.57000458</v>
      </c>
      <c r="R33" s="41">
        <v>438821661.57000458</v>
      </c>
      <c r="S33" s="28">
        <f t="shared" ref="S33:S43" si="28">IF(R33=0, "", R33-Q33)</f>
        <v>0</v>
      </c>
      <c r="T33" s="34">
        <v>458072175.78003407</v>
      </c>
      <c r="U33" s="69">
        <v>458072175.78003407</v>
      </c>
      <c r="V33" s="7">
        <f>IF(U33=0, "", U33-T33)</f>
        <v>0</v>
      </c>
    </row>
    <row r="34" spans="1:23" x14ac:dyDescent="0.3">
      <c r="A34" s="88" t="s">
        <v>8</v>
      </c>
      <c r="B34" s="55"/>
      <c r="C34" s="232">
        <v>12849</v>
      </c>
      <c r="D34" s="232">
        <v>12849</v>
      </c>
      <c r="E34" s="232">
        <f t="shared" si="24"/>
        <v>0</v>
      </c>
      <c r="F34" s="232">
        <v>13409</v>
      </c>
      <c r="G34" s="232">
        <v>13409</v>
      </c>
      <c r="H34" s="232">
        <f t="shared" si="25"/>
        <v>0</v>
      </c>
      <c r="J34" s="88">
        <v>64470432.290004179</v>
      </c>
      <c r="K34" s="41">
        <v>64470432.290004179</v>
      </c>
      <c r="L34" s="28">
        <f t="shared" si="26"/>
        <v>0</v>
      </c>
      <c r="M34" s="35">
        <v>71066797</v>
      </c>
      <c r="N34" s="37">
        <v>71066797</v>
      </c>
      <c r="O34" s="7">
        <f t="shared" si="27"/>
        <v>0</v>
      </c>
      <c r="Q34" s="88">
        <v>478268518.3400107</v>
      </c>
      <c r="R34" s="41">
        <v>478268518.3400107</v>
      </c>
      <c r="S34" s="28">
        <f t="shared" si="28"/>
        <v>0</v>
      </c>
      <c r="T34" s="35">
        <v>497068621.63003576</v>
      </c>
      <c r="U34" s="37">
        <v>497068621.63003576</v>
      </c>
      <c r="V34" s="7">
        <f t="shared" ref="V34:V43" si="29">IF(U34=0, "", U34-T34)</f>
        <v>0</v>
      </c>
    </row>
    <row r="35" spans="1:23" ht="14.4" customHeight="1" x14ac:dyDescent="0.3">
      <c r="A35" s="89" t="s">
        <v>9</v>
      </c>
      <c r="B35" s="55"/>
      <c r="C35" s="232">
        <v>15036</v>
      </c>
      <c r="D35" s="232">
        <v>14845</v>
      </c>
      <c r="E35" s="232">
        <f t="shared" si="24"/>
        <v>-191</v>
      </c>
      <c r="F35" s="232">
        <v>14967</v>
      </c>
      <c r="G35" s="232">
        <v>13280</v>
      </c>
      <c r="H35" s="232">
        <f t="shared" si="25"/>
        <v>-1687</v>
      </c>
      <c r="J35" s="89">
        <f>C35*$N$28</f>
        <v>69346032</v>
      </c>
      <c r="K35" s="41">
        <v>73002265.700007558</v>
      </c>
      <c r="L35" s="28">
        <f t="shared" si="26"/>
        <v>3656233.7000075579</v>
      </c>
      <c r="M35" s="35">
        <f>$N$26*F35</f>
        <v>70329933</v>
      </c>
      <c r="N35" s="37">
        <v>70384000</v>
      </c>
      <c r="O35" s="7">
        <f t="shared" si="27"/>
        <v>54067</v>
      </c>
      <c r="Q35" s="89">
        <f t="shared" ref="Q35:Q43" si="30">+$R$54*C35</f>
        <v>555199187.76000011</v>
      </c>
      <c r="R35" s="41">
        <v>555610973.6000092</v>
      </c>
      <c r="S35" s="28">
        <f t="shared" si="28"/>
        <v>411785.84000909328</v>
      </c>
      <c r="T35" s="35">
        <f t="shared" ref="T35:T43" si="31">+$R$54*F35</f>
        <v>552651386.22000003</v>
      </c>
      <c r="U35" s="37">
        <v>497128572.62001097</v>
      </c>
      <c r="V35" s="7">
        <f t="shared" si="29"/>
        <v>-55522813.599989057</v>
      </c>
    </row>
    <row r="36" spans="1:23" ht="14.4" customHeight="1" x14ac:dyDescent="0.3">
      <c r="A36" s="94" t="s">
        <v>10</v>
      </c>
      <c r="B36" s="55"/>
      <c r="C36" s="233">
        <v>16272</v>
      </c>
      <c r="D36" s="233">
        <v>16284</v>
      </c>
      <c r="E36" s="233">
        <f t="shared" si="24"/>
        <v>12</v>
      </c>
      <c r="F36" s="233">
        <v>16549</v>
      </c>
      <c r="G36" s="233">
        <v>16455</v>
      </c>
      <c r="H36" s="233">
        <f t="shared" si="25"/>
        <v>-94</v>
      </c>
      <c r="J36" s="94">
        <f t="shared" ref="J36:J43" si="32">C36*$N$28</f>
        <v>75046464</v>
      </c>
      <c r="K36" s="41">
        <v>72763660.339995727</v>
      </c>
      <c r="L36" s="39">
        <f t="shared" si="26"/>
        <v>-2282803.6600042731</v>
      </c>
      <c r="M36" s="35">
        <f t="shared" ref="M36:M43" si="33">$N$26*F36</f>
        <v>77763751</v>
      </c>
      <c r="N36" s="37">
        <v>77257738</v>
      </c>
      <c r="O36" s="29">
        <f t="shared" si="27"/>
        <v>-506013</v>
      </c>
      <c r="Q36" s="94">
        <f t="shared" si="30"/>
        <v>600838067.5200001</v>
      </c>
      <c r="R36" s="41">
        <v>602718421.47999549</v>
      </c>
      <c r="S36" s="11">
        <f t="shared" si="28"/>
        <v>1880353.959995389</v>
      </c>
      <c r="T36" s="35">
        <f t="shared" si="31"/>
        <v>611066198.34000003</v>
      </c>
      <c r="U36" s="37">
        <v>611029559.92000127</v>
      </c>
      <c r="V36" s="29">
        <f t="shared" si="29"/>
        <v>-36638.419998764992</v>
      </c>
    </row>
    <row r="37" spans="1:23" ht="14.4" customHeight="1" x14ac:dyDescent="0.3">
      <c r="A37" s="90" t="s">
        <v>11</v>
      </c>
      <c r="B37" s="55"/>
      <c r="C37" s="233">
        <v>14686</v>
      </c>
      <c r="D37" s="233">
        <v>14946</v>
      </c>
      <c r="E37" s="233">
        <f t="shared" si="24"/>
        <v>260</v>
      </c>
      <c r="F37" s="233">
        <v>14871</v>
      </c>
      <c r="G37" s="233">
        <v>12464</v>
      </c>
      <c r="H37" s="233">
        <f t="shared" si="25"/>
        <v>-2407</v>
      </c>
      <c r="J37" s="90">
        <f t="shared" si="32"/>
        <v>67731832</v>
      </c>
      <c r="K37" s="41">
        <v>66920477.149998479</v>
      </c>
      <c r="L37" s="39">
        <f t="shared" si="26"/>
        <v>-811354.85000152141</v>
      </c>
      <c r="M37" s="35">
        <f t="shared" si="33"/>
        <v>69878829</v>
      </c>
      <c r="N37" s="37">
        <v>58568336</v>
      </c>
      <c r="O37" s="29">
        <f t="shared" si="27"/>
        <v>-11310493</v>
      </c>
      <c r="Q37" s="90">
        <f t="shared" si="30"/>
        <v>542275556.76000011</v>
      </c>
      <c r="R37" s="41">
        <v>566094975.1000061</v>
      </c>
      <c r="S37" s="11">
        <f t="shared" si="28"/>
        <v>23819418.340005994</v>
      </c>
      <c r="T37" s="35">
        <f t="shared" si="31"/>
        <v>549106618.86000001</v>
      </c>
      <c r="U37" s="37">
        <v>471464528.00998545</v>
      </c>
      <c r="V37" s="29">
        <f t="shared" si="29"/>
        <v>-77642090.850014567</v>
      </c>
    </row>
    <row r="38" spans="1:23" ht="14.4" customHeight="1" x14ac:dyDescent="0.3">
      <c r="A38" s="91" t="s">
        <v>12</v>
      </c>
      <c r="B38" s="55"/>
      <c r="C38" s="233">
        <v>6936</v>
      </c>
      <c r="D38" s="233">
        <v>8339</v>
      </c>
      <c r="E38" s="233">
        <f t="shared" si="24"/>
        <v>1403</v>
      </c>
      <c r="F38" s="233">
        <v>8230</v>
      </c>
      <c r="G38" s="233">
        <v>12032</v>
      </c>
      <c r="H38" s="233">
        <f t="shared" si="25"/>
        <v>3802</v>
      </c>
      <c r="J38" s="91">
        <f t="shared" si="32"/>
        <v>31988832</v>
      </c>
      <c r="K38" s="41">
        <v>37535944.880000584</v>
      </c>
      <c r="L38" s="39">
        <f t="shared" si="26"/>
        <v>5547112.8800005838</v>
      </c>
      <c r="M38" s="35">
        <f t="shared" si="33"/>
        <v>38672770</v>
      </c>
      <c r="N38" s="37">
        <v>56538368</v>
      </c>
      <c r="O38" s="29">
        <f t="shared" si="27"/>
        <v>17865598</v>
      </c>
      <c r="Q38" s="91">
        <f t="shared" si="30"/>
        <v>256109441.76000002</v>
      </c>
      <c r="R38" s="41">
        <v>330371874.79999411</v>
      </c>
      <c r="S38" s="11">
        <f t="shared" si="28"/>
        <v>74262433.039994091</v>
      </c>
      <c r="T38" s="35">
        <f t="shared" si="31"/>
        <v>303889951.80000001</v>
      </c>
      <c r="U38" s="37">
        <v>466315326.80996937</v>
      </c>
      <c r="V38" s="29">
        <f t="shared" si="29"/>
        <v>162425375.00996935</v>
      </c>
    </row>
    <row r="39" spans="1:23" x14ac:dyDescent="0.3">
      <c r="A39" s="92" t="s">
        <v>23</v>
      </c>
      <c r="B39" s="55"/>
      <c r="C39" s="233">
        <v>13354</v>
      </c>
      <c r="D39" s="233"/>
      <c r="E39" s="233" t="str">
        <f t="shared" si="24"/>
        <v/>
      </c>
      <c r="F39" s="233">
        <v>14287</v>
      </c>
      <c r="G39" s="233"/>
      <c r="H39" s="233" t="str">
        <f t="shared" si="25"/>
        <v/>
      </c>
      <c r="J39" s="92">
        <f t="shared" si="32"/>
        <v>61588648</v>
      </c>
      <c r="K39" s="41"/>
      <c r="L39" s="39" t="str">
        <f t="shared" si="26"/>
        <v/>
      </c>
      <c r="M39" s="35">
        <f t="shared" si="33"/>
        <v>67134613</v>
      </c>
      <c r="N39" s="37"/>
      <c r="O39" s="29" t="str">
        <f t="shared" si="27"/>
        <v/>
      </c>
      <c r="Q39" s="92">
        <f t="shared" si="30"/>
        <v>493091909.64000005</v>
      </c>
      <c r="R39" s="41"/>
      <c r="S39" s="11" t="str">
        <f t="shared" si="28"/>
        <v/>
      </c>
      <c r="T39" s="35">
        <f t="shared" si="31"/>
        <v>527542617.42000008</v>
      </c>
      <c r="U39" s="37"/>
      <c r="V39" s="29" t="str">
        <f t="shared" si="29"/>
        <v/>
      </c>
    </row>
    <row r="40" spans="1:23" x14ac:dyDescent="0.3">
      <c r="A40" s="93" t="s">
        <v>24</v>
      </c>
      <c r="B40" s="55"/>
      <c r="C40" s="233">
        <v>14905</v>
      </c>
      <c r="D40" s="233"/>
      <c r="E40" s="233" t="str">
        <f t="shared" si="24"/>
        <v/>
      </c>
      <c r="F40" s="233">
        <v>14832</v>
      </c>
      <c r="G40" s="233"/>
      <c r="H40" s="233" t="str">
        <f t="shared" si="25"/>
        <v/>
      </c>
      <c r="J40" s="93">
        <f t="shared" si="32"/>
        <v>68741860</v>
      </c>
      <c r="K40" s="41"/>
      <c r="L40" s="39" t="str">
        <f t="shared" si="26"/>
        <v/>
      </c>
      <c r="M40" s="35">
        <f t="shared" si="33"/>
        <v>69695568</v>
      </c>
      <c r="N40" s="37"/>
      <c r="O40" s="29" t="str">
        <f t="shared" si="27"/>
        <v/>
      </c>
      <c r="Q40" s="93">
        <f t="shared" si="30"/>
        <v>550362057.30000007</v>
      </c>
      <c r="R40" s="41"/>
      <c r="S40" s="11" t="str">
        <f t="shared" si="28"/>
        <v/>
      </c>
      <c r="T40" s="35">
        <f t="shared" si="31"/>
        <v>547666557.12</v>
      </c>
      <c r="U40" s="37"/>
      <c r="V40" s="29" t="str">
        <f t="shared" si="29"/>
        <v/>
      </c>
    </row>
    <row r="41" spans="1:23" x14ac:dyDescent="0.3">
      <c r="A41" s="96" t="s">
        <v>25</v>
      </c>
      <c r="B41" s="55"/>
      <c r="C41" s="234">
        <v>16168</v>
      </c>
      <c r="D41" s="234"/>
      <c r="E41" s="234" t="str">
        <f t="shared" si="24"/>
        <v/>
      </c>
      <c r="F41" s="234">
        <v>15949</v>
      </c>
      <c r="G41" s="234"/>
      <c r="H41" s="234" t="str">
        <f t="shared" si="25"/>
        <v/>
      </c>
      <c r="J41" s="96">
        <f t="shared" si="32"/>
        <v>74566816</v>
      </c>
      <c r="K41" s="41"/>
      <c r="L41" s="12" t="str">
        <f t="shared" si="26"/>
        <v/>
      </c>
      <c r="M41" s="35">
        <f t="shared" si="33"/>
        <v>74944351</v>
      </c>
      <c r="N41" s="37"/>
      <c r="O41" s="30" t="str">
        <f t="shared" si="27"/>
        <v/>
      </c>
      <c r="Q41" s="96">
        <f t="shared" si="30"/>
        <v>596997902.88000011</v>
      </c>
      <c r="R41" s="41"/>
      <c r="S41" s="12" t="str">
        <f t="shared" si="28"/>
        <v/>
      </c>
      <c r="T41" s="35">
        <f t="shared" si="31"/>
        <v>588911402.34000003</v>
      </c>
      <c r="U41" s="37"/>
      <c r="V41" s="30" t="str">
        <f t="shared" si="29"/>
        <v/>
      </c>
    </row>
    <row r="42" spans="1:23" x14ac:dyDescent="0.3">
      <c r="A42" s="95" t="s">
        <v>26</v>
      </c>
      <c r="B42" s="55"/>
      <c r="C42" s="234">
        <v>14681</v>
      </c>
      <c r="D42" s="234"/>
      <c r="E42" s="234" t="str">
        <f t="shared" si="24"/>
        <v/>
      </c>
      <c r="F42" s="234">
        <v>14179</v>
      </c>
      <c r="G42" s="234"/>
      <c r="H42" s="234" t="str">
        <f t="shared" si="25"/>
        <v/>
      </c>
      <c r="J42" s="95">
        <f t="shared" si="32"/>
        <v>67708772</v>
      </c>
      <c r="K42" s="41"/>
      <c r="L42" s="12" t="str">
        <f t="shared" si="26"/>
        <v/>
      </c>
      <c r="M42" s="35">
        <f t="shared" si="33"/>
        <v>66627121</v>
      </c>
      <c r="N42" s="37"/>
      <c r="O42" s="30" t="str">
        <f t="shared" si="27"/>
        <v/>
      </c>
      <c r="Q42" s="95">
        <f t="shared" si="30"/>
        <v>542090933.46000004</v>
      </c>
      <c r="R42" s="41"/>
      <c r="S42" s="12" t="str">
        <f t="shared" si="28"/>
        <v/>
      </c>
      <c r="T42" s="35">
        <f t="shared" si="31"/>
        <v>523554754.14000005</v>
      </c>
      <c r="U42" s="37"/>
      <c r="V42" s="30" t="str">
        <f t="shared" si="29"/>
        <v/>
      </c>
    </row>
    <row r="43" spans="1:23" x14ac:dyDescent="0.3">
      <c r="A43" s="97" t="s">
        <v>27</v>
      </c>
      <c r="B43" s="55"/>
      <c r="C43" s="235">
        <v>12799</v>
      </c>
      <c r="D43" s="235"/>
      <c r="E43" s="235" t="str">
        <f t="shared" si="24"/>
        <v/>
      </c>
      <c r="F43" s="235">
        <v>11422</v>
      </c>
      <c r="G43" s="235"/>
      <c r="H43" s="235" t="str">
        <f t="shared" si="25"/>
        <v/>
      </c>
      <c r="J43" s="97">
        <f t="shared" si="32"/>
        <v>59028988</v>
      </c>
      <c r="K43" s="41"/>
      <c r="L43" s="12" t="str">
        <f t="shared" si="26"/>
        <v/>
      </c>
      <c r="M43" s="36">
        <f t="shared" si="33"/>
        <v>53671978</v>
      </c>
      <c r="N43" s="68"/>
      <c r="O43" s="31" t="str">
        <f t="shared" si="27"/>
        <v/>
      </c>
      <c r="Q43" s="97">
        <f t="shared" si="30"/>
        <v>472598723.34000003</v>
      </c>
      <c r="R43" s="41"/>
      <c r="S43" s="13" t="str">
        <f t="shared" si="28"/>
        <v/>
      </c>
      <c r="T43" s="36">
        <f t="shared" si="31"/>
        <v>421753466.52000004</v>
      </c>
      <c r="U43" s="68"/>
      <c r="V43" s="31" t="str">
        <f t="shared" si="29"/>
        <v/>
      </c>
    </row>
    <row r="44" spans="1:23" x14ac:dyDescent="0.3">
      <c r="A44" s="24" t="s">
        <v>0</v>
      </c>
      <c r="B44" s="55"/>
      <c r="C44" s="236">
        <f>SUM(C32:C43)</f>
        <v>161075</v>
      </c>
      <c r="D44" s="236">
        <f>SUM(D32:D43)</f>
        <v>90652</v>
      </c>
      <c r="E44" s="236">
        <f>SUM(E32:E43)</f>
        <v>1484</v>
      </c>
      <c r="F44" s="236">
        <f t="shared" ref="F44:G44" si="34">SUM(F32:F43)</f>
        <v>162012</v>
      </c>
      <c r="G44" s="236">
        <f t="shared" si="34"/>
        <v>90957</v>
      </c>
      <c r="H44" s="236">
        <f>SUM(H32:H43)</f>
        <v>-386</v>
      </c>
      <c r="J44" s="25">
        <f>SUM(J32:J43)</f>
        <v>758607411.54000878</v>
      </c>
      <c r="K44" s="26">
        <f t="shared" ref="K44:O44" si="35">SUM(K32:K43)</f>
        <v>433081515.61001116</v>
      </c>
      <c r="L44" s="26">
        <f t="shared" si="35"/>
        <v>6109188.0700023472</v>
      </c>
      <c r="M44" s="26">
        <f t="shared" si="35"/>
        <v>783351685</v>
      </c>
      <c r="N44" s="26">
        <f t="shared" si="35"/>
        <v>457381213</v>
      </c>
      <c r="O44" s="26">
        <f t="shared" si="35"/>
        <v>6103159</v>
      </c>
      <c r="Q44" s="25">
        <f t="shared" ref="Q44:V44" si="36">SUM(Q32:Q43)</f>
        <v>5952732949.9300184</v>
      </c>
      <c r="R44" s="26">
        <f t="shared" si="36"/>
        <v>3397965414.4900222</v>
      </c>
      <c r="S44" s="26">
        <f t="shared" si="36"/>
        <v>100373991.18000457</v>
      </c>
      <c r="T44" s="26">
        <f t="shared" si="36"/>
        <v>5990715546.4201012</v>
      </c>
      <c r="U44" s="26">
        <f t="shared" si="36"/>
        <v>3410510581.0200672</v>
      </c>
      <c r="V44" s="26">
        <f t="shared" si="36"/>
        <v>29223832.139966965</v>
      </c>
    </row>
    <row r="45" spans="1:23" x14ac:dyDescent="0.3">
      <c r="A45" s="2"/>
      <c r="B45" s="55"/>
      <c r="C45" s="3"/>
      <c r="D45" s="3"/>
      <c r="E45" s="3"/>
      <c r="F45" s="3"/>
      <c r="G45" s="3"/>
      <c r="H45" s="8"/>
      <c r="J45" s="3"/>
      <c r="K45" s="3"/>
      <c r="L45" s="3"/>
      <c r="M45" s="3"/>
      <c r="N45" s="3"/>
      <c r="O45" s="8"/>
      <c r="Q45" s="15"/>
      <c r="R45" s="15"/>
      <c r="S45" s="15"/>
      <c r="T45" s="15"/>
      <c r="U45" s="15"/>
      <c r="V45" s="42"/>
    </row>
    <row r="46" spans="1:23" s="247" customFormat="1" x14ac:dyDescent="0.3">
      <c r="A46" s="247" t="s">
        <v>103</v>
      </c>
      <c r="B46" s="248"/>
      <c r="C46" s="272" t="s">
        <v>108</v>
      </c>
      <c r="D46" s="273"/>
      <c r="E46" s="246">
        <f>+C44</f>
        <v>161075</v>
      </c>
      <c r="F46" s="249"/>
      <c r="G46" s="250"/>
      <c r="H46" s="251"/>
      <c r="I46" s="248"/>
      <c r="J46" s="270" t="s">
        <v>112</v>
      </c>
      <c r="K46" s="271"/>
      <c r="L46" s="245">
        <f>+J44</f>
        <v>758607411.54000878</v>
      </c>
      <c r="M46" s="244"/>
      <c r="N46" s="258"/>
      <c r="O46" s="253"/>
      <c r="P46" s="248"/>
      <c r="Q46" s="270" t="s">
        <v>127</v>
      </c>
      <c r="R46" s="254"/>
      <c r="S46" s="265">
        <f>+Q44</f>
        <v>5952732949.9300184</v>
      </c>
      <c r="T46" s="254"/>
      <c r="U46" s="258"/>
      <c r="V46" s="253"/>
      <c r="W46" s="248"/>
    </row>
    <row r="47" spans="1:23" s="247" customFormat="1" x14ac:dyDescent="0.3">
      <c r="B47" s="248"/>
      <c r="C47" s="274" t="s">
        <v>109</v>
      </c>
      <c r="D47" s="275"/>
      <c r="E47" s="257"/>
      <c r="F47" s="257"/>
      <c r="G47" s="258">
        <f>+F44</f>
        <v>162012</v>
      </c>
      <c r="H47" s="253"/>
      <c r="I47" s="248"/>
      <c r="J47" s="270" t="s">
        <v>113</v>
      </c>
      <c r="K47" s="271"/>
      <c r="L47" s="244"/>
      <c r="M47" s="244"/>
      <c r="N47" s="266">
        <f>+M44</f>
        <v>783351685</v>
      </c>
      <c r="O47" s="259"/>
      <c r="P47" s="248"/>
      <c r="Q47" s="270" t="s">
        <v>128</v>
      </c>
      <c r="R47" s="260"/>
      <c r="S47" s="244"/>
      <c r="T47" s="244"/>
      <c r="U47" s="276">
        <f>+T44</f>
        <v>5990715546.4201012</v>
      </c>
      <c r="V47" s="261"/>
      <c r="W47" s="248"/>
    </row>
    <row r="48" spans="1:23" s="247" customFormat="1" x14ac:dyDescent="0.3">
      <c r="B48" s="248"/>
      <c r="C48" s="274" t="s">
        <v>110</v>
      </c>
      <c r="D48" s="275"/>
      <c r="E48" s="257">
        <f>+D44</f>
        <v>90652</v>
      </c>
      <c r="F48" s="257"/>
      <c r="G48" s="258">
        <f>+G44</f>
        <v>90957</v>
      </c>
      <c r="H48" s="262"/>
      <c r="I48" s="248"/>
      <c r="J48" s="270" t="s">
        <v>114</v>
      </c>
      <c r="K48" s="271"/>
      <c r="L48" s="245">
        <f>+K44</f>
        <v>433081515.61001116</v>
      </c>
      <c r="M48" s="244"/>
      <c r="N48" s="267">
        <f>+N44</f>
        <v>457381213</v>
      </c>
      <c r="O48" s="263"/>
      <c r="P48" s="248"/>
      <c r="Q48" s="270" t="s">
        <v>129</v>
      </c>
      <c r="R48" s="14"/>
      <c r="S48" s="245">
        <f>+R44</f>
        <v>3397965414.4900222</v>
      </c>
      <c r="T48" s="14"/>
      <c r="U48" s="277">
        <f>+U44</f>
        <v>3410510581.0200672</v>
      </c>
      <c r="V48" s="263"/>
      <c r="W48" s="248"/>
    </row>
    <row r="49" spans="1:30" s="247" customFormat="1" x14ac:dyDescent="0.3">
      <c r="B49" s="248"/>
      <c r="C49" s="270" t="s">
        <v>111</v>
      </c>
      <c r="D49" s="271"/>
      <c r="E49" s="245">
        <f>+E46-E48</f>
        <v>70423</v>
      </c>
      <c r="F49" s="244"/>
      <c r="G49" s="245">
        <f>+G47-G48</f>
        <v>71055</v>
      </c>
      <c r="H49" s="261"/>
      <c r="I49" s="248"/>
      <c r="J49" s="270" t="s">
        <v>107</v>
      </c>
      <c r="K49" s="271"/>
      <c r="L49" s="245">
        <f>+L46+-L48</f>
        <v>325525895.92999762</v>
      </c>
      <c r="M49" s="244"/>
      <c r="N49" s="268">
        <f>+N47-N48</f>
        <v>325970472</v>
      </c>
      <c r="O49" s="264"/>
      <c r="P49" s="248"/>
      <c r="Q49" s="270" t="s">
        <v>130</v>
      </c>
      <c r="R49" s="265"/>
      <c r="S49" s="265">
        <f>+S46-S48</f>
        <v>2554767535.4399962</v>
      </c>
      <c r="T49" s="265"/>
      <c r="U49" s="276">
        <f>+U47-U48</f>
        <v>2580204965.400034</v>
      </c>
      <c r="V49" s="264"/>
      <c r="W49" s="248"/>
      <c r="AD49" s="269"/>
    </row>
    <row r="50" spans="1:30" x14ac:dyDescent="0.3">
      <c r="A50" s="83"/>
      <c r="B50" s="79"/>
      <c r="C50" s="56"/>
      <c r="D50" s="56"/>
      <c r="E50" s="56"/>
      <c r="F50" s="56"/>
      <c r="G50" s="56"/>
      <c r="H50" s="57"/>
      <c r="J50" s="61">
        <f>IF(N50&gt;N52,1,IF(N50=N52,0,IF(N50&lt;N52,-1,0)))</f>
        <v>0</v>
      </c>
      <c r="K50" s="62"/>
      <c r="L50" s="142"/>
      <c r="M50" s="62"/>
      <c r="N50" s="70"/>
      <c r="O50" s="71"/>
      <c r="Q50" s="61">
        <f>IF(N50&gt;N52,1,IF(N50=N52,0,IF(N50&lt;N52,-1,0)))</f>
        <v>0</v>
      </c>
      <c r="R50" s="62"/>
      <c r="S50" s="62"/>
      <c r="T50" s="62"/>
      <c r="U50" s="70"/>
      <c r="V50" s="71"/>
    </row>
    <row r="51" spans="1:30" x14ac:dyDescent="0.3">
      <c r="A51" s="109"/>
      <c r="B51" s="82"/>
      <c r="C51" s="4"/>
      <c r="D51" s="4"/>
      <c r="E51" s="4"/>
      <c r="F51" s="4"/>
      <c r="G51" s="4"/>
      <c r="H51" s="58"/>
      <c r="J51" s="63"/>
      <c r="K51" s="23"/>
      <c r="L51" s="23"/>
      <c r="M51" s="23"/>
      <c r="N51" s="4"/>
      <c r="O51" s="58"/>
      <c r="Q51" s="63"/>
      <c r="R51" s="23"/>
      <c r="S51" s="23"/>
      <c r="T51" s="23"/>
      <c r="U51" s="4"/>
      <c r="V51" s="58"/>
    </row>
    <row r="52" spans="1:30" x14ac:dyDescent="0.3">
      <c r="A52" s="84"/>
      <c r="B52" s="82"/>
      <c r="C52" s="59"/>
      <c r="D52" s="59"/>
      <c r="E52" s="59"/>
      <c r="F52" s="59"/>
      <c r="G52" s="59"/>
      <c r="H52" s="60"/>
      <c r="J52" s="64"/>
      <c r="K52" s="65"/>
      <c r="L52" s="144"/>
      <c r="M52" s="65"/>
      <c r="N52" s="72"/>
      <c r="O52" s="73"/>
      <c r="Q52" s="64"/>
      <c r="R52" s="65"/>
      <c r="S52" s="65"/>
      <c r="T52" s="65"/>
      <c r="U52" s="72"/>
      <c r="V52" s="73"/>
    </row>
    <row r="53" spans="1:30" ht="15" thickBot="1" x14ac:dyDescent="0.35">
      <c r="A53" s="21"/>
      <c r="C53" s="21"/>
      <c r="D53" s="21"/>
      <c r="E53" s="21"/>
      <c r="F53" s="21"/>
      <c r="G53" s="21"/>
      <c r="H53" s="21"/>
      <c r="J53" s="21"/>
      <c r="K53" s="21"/>
      <c r="L53" s="21"/>
      <c r="M53" s="21"/>
      <c r="N53" s="21"/>
      <c r="O53" s="21"/>
      <c r="Q53" s="21"/>
      <c r="R53" s="21"/>
      <c r="S53" s="21"/>
      <c r="T53" s="21"/>
      <c r="U53" s="21"/>
      <c r="V53" s="21"/>
    </row>
    <row r="54" spans="1:30" ht="15" thickBot="1" x14ac:dyDescent="0.35">
      <c r="A54" s="240"/>
      <c r="B54" s="85"/>
      <c r="C54" s="237"/>
      <c r="D54" s="237"/>
      <c r="E54" s="241"/>
      <c r="F54" s="241"/>
      <c r="G54" s="242"/>
      <c r="H54" s="242"/>
      <c r="J54" s="237"/>
      <c r="K54" s="237"/>
      <c r="L54" s="241"/>
      <c r="M54" s="241"/>
      <c r="N54" s="242"/>
      <c r="O54" s="242"/>
      <c r="Q54" s="143" t="s">
        <v>43</v>
      </c>
      <c r="R54" s="76">
        <v>36924.660000000003</v>
      </c>
      <c r="S54" s="66"/>
      <c r="T54" s="66"/>
      <c r="U54" s="76"/>
      <c r="V54" s="77"/>
    </row>
    <row r="55" spans="1:30" x14ac:dyDescent="0.3">
      <c r="A55" s="21"/>
      <c r="C55" s="21"/>
      <c r="D55" s="21"/>
      <c r="E55" s="21"/>
      <c r="F55" s="21"/>
      <c r="G55" s="21"/>
      <c r="H55" s="21"/>
      <c r="J55" s="21"/>
      <c r="K55" s="21"/>
      <c r="L55" s="21"/>
      <c r="M55" s="21"/>
      <c r="N55" s="21"/>
      <c r="O55" s="21"/>
      <c r="Q55" s="21"/>
      <c r="R55" s="21"/>
      <c r="S55" s="21"/>
      <c r="T55" s="21"/>
      <c r="U55" s="21"/>
      <c r="V55" s="21"/>
    </row>
    <row r="56" spans="1:30" x14ac:dyDescent="0.3">
      <c r="A56" s="86"/>
      <c r="B56" s="86"/>
      <c r="C56" s="67"/>
      <c r="D56" s="67"/>
      <c r="E56" s="21"/>
      <c r="F56" s="21"/>
      <c r="G56" s="21"/>
      <c r="H56" s="21"/>
      <c r="J56" s="67"/>
      <c r="K56" s="67"/>
      <c r="L56" s="21"/>
      <c r="M56" s="21"/>
      <c r="N56" s="21"/>
      <c r="O56" s="21"/>
      <c r="Q56" s="67"/>
      <c r="R56" s="67"/>
      <c r="S56" s="21"/>
      <c r="T56" s="21"/>
      <c r="U56" s="21"/>
      <c r="V56" s="21"/>
    </row>
    <row r="57" spans="1:30" x14ac:dyDescent="0.3">
      <c r="A57" s="21"/>
      <c r="C57" s="21"/>
      <c r="D57" s="21"/>
      <c r="E57" s="21"/>
      <c r="F57" s="21"/>
      <c r="G57" s="21"/>
      <c r="H57" s="50"/>
      <c r="J57" s="21"/>
      <c r="K57" s="21"/>
      <c r="L57" s="21"/>
      <c r="M57" s="21"/>
      <c r="N57" s="21"/>
      <c r="O57" s="50"/>
      <c r="Q57" s="21"/>
      <c r="R57" s="21"/>
      <c r="S57" s="21"/>
      <c r="T57" s="21"/>
      <c r="U57" s="21"/>
      <c r="V57" s="50"/>
    </row>
    <row r="59" spans="1:30" ht="41.4" customHeight="1" x14ac:dyDescent="0.3">
      <c r="A59" s="9" t="s">
        <v>22</v>
      </c>
      <c r="B59" s="54"/>
      <c r="C59" s="357" t="s">
        <v>163</v>
      </c>
      <c r="D59" s="358"/>
      <c r="E59" s="358"/>
      <c r="F59" s="358"/>
      <c r="G59" s="358"/>
      <c r="H59" s="359"/>
      <c r="J59" s="357" t="s">
        <v>156</v>
      </c>
      <c r="K59" s="358"/>
      <c r="L59" s="358"/>
      <c r="M59" s="358"/>
      <c r="N59" s="358"/>
      <c r="O59" s="359"/>
      <c r="Q59" s="357" t="s">
        <v>160</v>
      </c>
      <c r="R59" s="358"/>
      <c r="S59" s="358"/>
      <c r="T59" s="358"/>
      <c r="U59" s="358"/>
      <c r="V59" s="359"/>
    </row>
    <row r="60" spans="1:30" ht="46.8" x14ac:dyDescent="0.3">
      <c r="A60" s="10"/>
      <c r="C60" s="80" t="s">
        <v>13</v>
      </c>
      <c r="D60" s="80" t="s">
        <v>14</v>
      </c>
      <c r="E60" s="80" t="s">
        <v>55</v>
      </c>
      <c r="F60" s="80" t="s">
        <v>16</v>
      </c>
      <c r="G60" s="80" t="s">
        <v>15</v>
      </c>
      <c r="H60" s="80" t="s">
        <v>55</v>
      </c>
      <c r="J60" s="80" t="s">
        <v>105</v>
      </c>
      <c r="K60" s="81" t="s">
        <v>106</v>
      </c>
      <c r="L60" s="80" t="s">
        <v>55</v>
      </c>
      <c r="M60" s="80" t="s">
        <v>17</v>
      </c>
      <c r="N60" s="80" t="s">
        <v>18</v>
      </c>
      <c r="O60" s="80" t="s">
        <v>55</v>
      </c>
      <c r="Q60" s="80" t="s">
        <v>45</v>
      </c>
      <c r="R60" s="81" t="s">
        <v>46</v>
      </c>
      <c r="S60" s="80" t="s">
        <v>55</v>
      </c>
      <c r="T60" s="80" t="s">
        <v>47</v>
      </c>
      <c r="U60" s="80" t="s">
        <v>48</v>
      </c>
      <c r="V60" s="80" t="s">
        <v>55</v>
      </c>
    </row>
    <row r="61" spans="1:30" x14ac:dyDescent="0.3">
      <c r="A61" s="32" t="s">
        <v>6</v>
      </c>
      <c r="B61" s="55"/>
      <c r="C61" s="230">
        <v>4038</v>
      </c>
      <c r="D61" s="230">
        <v>4038</v>
      </c>
      <c r="E61" s="230">
        <f>IF(D61=0, "", D61-C61)</f>
        <v>0</v>
      </c>
      <c r="F61" s="230">
        <v>3959</v>
      </c>
      <c r="G61" s="230">
        <v>3959</v>
      </c>
      <c r="H61" s="230">
        <f>IF(G61=0, "", G61-F61)</f>
        <v>0</v>
      </c>
      <c r="J61" s="32">
        <v>20683167.270000242</v>
      </c>
      <c r="K61" s="40">
        <v>20683167.270000242</v>
      </c>
      <c r="L61" s="27">
        <f>IF(K61=0, "", K61-J61)</f>
        <v>0</v>
      </c>
      <c r="M61" s="33">
        <v>20980682</v>
      </c>
      <c r="N61" s="38">
        <v>20980682</v>
      </c>
      <c r="O61" s="6">
        <f>IF(N61=0, "", N61-M61)</f>
        <v>0</v>
      </c>
      <c r="Q61" s="32">
        <v>170838021.66000003</v>
      </c>
      <c r="R61" s="40">
        <v>170838021.66000003</v>
      </c>
      <c r="S61" s="27">
        <f>IF(R61=0, "", R61-Q61)</f>
        <v>0</v>
      </c>
      <c r="T61" s="34">
        <v>167805312.90000153</v>
      </c>
      <c r="U61" s="38">
        <v>167805312.90000153</v>
      </c>
      <c r="V61" s="6">
        <f>IF(U61=0, "", U61-T61)</f>
        <v>0</v>
      </c>
    </row>
    <row r="62" spans="1:30" x14ac:dyDescent="0.3">
      <c r="A62" s="87" t="s">
        <v>7</v>
      </c>
      <c r="B62" s="55"/>
      <c r="C62" s="231">
        <v>3934</v>
      </c>
      <c r="D62" s="231">
        <v>3934</v>
      </c>
      <c r="E62" s="232">
        <f t="shared" ref="E62:E72" si="37">IF(D62=0, "", D62-C62)</f>
        <v>0</v>
      </c>
      <c r="F62" s="231">
        <v>4079</v>
      </c>
      <c r="G62" s="232">
        <v>4079</v>
      </c>
      <c r="H62" s="232">
        <f t="shared" ref="H62:H72" si="38">IF(G62=0, "", G62-F62)</f>
        <v>0</v>
      </c>
      <c r="J62" s="87">
        <v>20011381.730000217</v>
      </c>
      <c r="K62" s="41">
        <v>20011381.730000217</v>
      </c>
      <c r="L62" s="28">
        <f t="shared" ref="L62:L72" si="39">IF(K62=0, "", K62-J62)</f>
        <v>0</v>
      </c>
      <c r="M62" s="34">
        <v>21616470</v>
      </c>
      <c r="N62" s="69">
        <v>21616470</v>
      </c>
      <c r="O62" s="7">
        <f t="shared" ref="O62:O72" si="40">IF(N62=0, "", N62-M62)</f>
        <v>0</v>
      </c>
      <c r="Q62" s="87">
        <v>164434602.79000199</v>
      </c>
      <c r="R62" s="41">
        <v>164434602.79000199</v>
      </c>
      <c r="S62" s="28">
        <f t="shared" ref="S62:S72" si="41">IF(R62=0, "", R62-Q62)</f>
        <v>0</v>
      </c>
      <c r="T62" s="34">
        <v>170554532.23999971</v>
      </c>
      <c r="U62" s="69">
        <v>170554532.23999971</v>
      </c>
      <c r="V62" s="7">
        <f t="shared" ref="V62:V72" si="42">IF(U62=0, "", U62-T62)</f>
        <v>0</v>
      </c>
    </row>
    <row r="63" spans="1:30" x14ac:dyDescent="0.3">
      <c r="A63" s="88" t="s">
        <v>8</v>
      </c>
      <c r="B63" s="55"/>
      <c r="C63" s="232">
        <v>4373</v>
      </c>
      <c r="D63" s="232">
        <v>4373</v>
      </c>
      <c r="E63" s="232">
        <f t="shared" si="37"/>
        <v>0</v>
      </c>
      <c r="F63" s="232">
        <v>4459</v>
      </c>
      <c r="G63" s="232">
        <v>4459</v>
      </c>
      <c r="H63" s="232">
        <f t="shared" si="38"/>
        <v>0</v>
      </c>
      <c r="J63" s="88">
        <v>22277214.320000183</v>
      </c>
      <c r="K63" s="41">
        <v>22277214.320000183</v>
      </c>
      <c r="L63" s="28">
        <f t="shared" si="39"/>
        <v>0</v>
      </c>
      <c r="M63" s="35">
        <v>23632700</v>
      </c>
      <c r="N63" s="37">
        <v>23632700</v>
      </c>
      <c r="O63" s="7">
        <f t="shared" si="40"/>
        <v>0</v>
      </c>
      <c r="Q63" s="88">
        <v>184884353.67000082</v>
      </c>
      <c r="R63" s="41">
        <v>184884353.67000082</v>
      </c>
      <c r="S63" s="28">
        <f t="shared" si="41"/>
        <v>0</v>
      </c>
      <c r="T63" s="35">
        <v>189349127.94999951</v>
      </c>
      <c r="U63" s="37">
        <v>189349127.94999951</v>
      </c>
      <c r="V63" s="7">
        <f t="shared" si="42"/>
        <v>0</v>
      </c>
    </row>
    <row r="64" spans="1:30" x14ac:dyDescent="0.3">
      <c r="A64" s="89" t="s">
        <v>9</v>
      </c>
      <c r="B64" s="55"/>
      <c r="C64" s="232">
        <v>3608</v>
      </c>
      <c r="D64" s="232">
        <v>3668</v>
      </c>
      <c r="E64" s="232">
        <f t="shared" si="37"/>
        <v>60</v>
      </c>
      <c r="F64" s="232">
        <v>3714</v>
      </c>
      <c r="G64" s="232">
        <v>3676</v>
      </c>
      <c r="H64" s="232">
        <f t="shared" si="38"/>
        <v>-38</v>
      </c>
      <c r="J64" s="89">
        <f t="shared" ref="J64:J72" si="43">C64*$N$28</f>
        <v>16640096</v>
      </c>
      <c r="K64" s="41">
        <v>18215667.700000338</v>
      </c>
      <c r="L64" s="28">
        <f t="shared" si="39"/>
        <v>1575571.7000003383</v>
      </c>
      <c r="M64" s="35">
        <f t="shared" ref="M64:M72" si="44">$N$26*F64</f>
        <v>17452086</v>
      </c>
      <c r="N64" s="37">
        <v>19482800</v>
      </c>
      <c r="O64" s="7">
        <f t="shared" si="40"/>
        <v>2030714</v>
      </c>
      <c r="Q64" s="89">
        <f t="shared" ref="Q64:Q72" si="45">+$R$83*C64</f>
        <v>153119551.20000002</v>
      </c>
      <c r="R64" s="41">
        <v>152359296.4199993</v>
      </c>
      <c r="S64" s="28">
        <f t="shared" si="41"/>
        <v>-760254.78000071645</v>
      </c>
      <c r="T64" s="35">
        <f t="shared" ref="T64:T72" si="46">+$R$83*F64</f>
        <v>157618074.59999999</v>
      </c>
      <c r="U64" s="37">
        <v>153421010.91999811</v>
      </c>
      <c r="V64" s="7">
        <f t="shared" si="42"/>
        <v>-4197063.6800018847</v>
      </c>
    </row>
    <row r="65" spans="1:23" x14ac:dyDescent="0.3">
      <c r="A65" s="94" t="s">
        <v>10</v>
      </c>
      <c r="B65" s="55"/>
      <c r="C65" s="233">
        <v>3395</v>
      </c>
      <c r="D65" s="233">
        <v>3301</v>
      </c>
      <c r="E65" s="233">
        <f t="shared" si="37"/>
        <v>-94</v>
      </c>
      <c r="F65" s="233">
        <v>3455</v>
      </c>
      <c r="G65" s="233">
        <v>3381</v>
      </c>
      <c r="H65" s="233">
        <f t="shared" si="38"/>
        <v>-74</v>
      </c>
      <c r="J65" s="94">
        <f t="shared" si="43"/>
        <v>15657740</v>
      </c>
      <c r="K65" s="41">
        <v>14979349.730000013</v>
      </c>
      <c r="L65" s="39">
        <f t="shared" si="39"/>
        <v>-678390.26999998651</v>
      </c>
      <c r="M65" s="35">
        <f t="shared" si="44"/>
        <v>16235045</v>
      </c>
      <c r="N65" s="37">
        <v>15852461</v>
      </c>
      <c r="O65" s="29">
        <f t="shared" si="40"/>
        <v>-382584</v>
      </c>
      <c r="Q65" s="94">
        <f t="shared" si="45"/>
        <v>144080065.5</v>
      </c>
      <c r="R65" s="41">
        <v>138584214.06000063</v>
      </c>
      <c r="S65" s="11">
        <f t="shared" si="41"/>
        <v>-5495851.4399993718</v>
      </c>
      <c r="T65" s="35">
        <f t="shared" si="46"/>
        <v>146626399.5</v>
      </c>
      <c r="U65" s="37">
        <v>141811251.30999839</v>
      </c>
      <c r="V65" s="29">
        <f t="shared" si="42"/>
        <v>-4815148.1900016069</v>
      </c>
    </row>
    <row r="66" spans="1:23" x14ac:dyDescent="0.3">
      <c r="A66" s="90" t="s">
        <v>11</v>
      </c>
      <c r="B66" s="55"/>
      <c r="C66" s="233">
        <v>3687</v>
      </c>
      <c r="D66" s="233">
        <v>3763</v>
      </c>
      <c r="E66" s="233">
        <f t="shared" si="37"/>
        <v>76</v>
      </c>
      <c r="F66" s="233">
        <v>3807</v>
      </c>
      <c r="G66" s="233">
        <v>3293</v>
      </c>
      <c r="H66" s="233">
        <f t="shared" si="38"/>
        <v>-514</v>
      </c>
      <c r="J66" s="90">
        <f t="shared" si="43"/>
        <v>17004444</v>
      </c>
      <c r="K66" s="41">
        <v>17046293.680000216</v>
      </c>
      <c r="L66" s="39">
        <f t="shared" si="39"/>
        <v>41849.680000215769</v>
      </c>
      <c r="M66" s="35">
        <f t="shared" si="44"/>
        <v>17889093</v>
      </c>
      <c r="N66" s="37">
        <v>15473807</v>
      </c>
      <c r="O66" s="29">
        <f t="shared" si="40"/>
        <v>-2415286</v>
      </c>
      <c r="Q66" s="90">
        <f t="shared" si="45"/>
        <v>156472224.30000001</v>
      </c>
      <c r="R66" s="41">
        <v>157033228.14000013</v>
      </c>
      <c r="S66" s="11">
        <f t="shared" si="41"/>
        <v>561003.84000012279</v>
      </c>
      <c r="T66" s="35">
        <f t="shared" si="46"/>
        <v>161564892.30000001</v>
      </c>
      <c r="U66" s="37">
        <v>137625421.05000076</v>
      </c>
      <c r="V66" s="29">
        <f t="shared" si="42"/>
        <v>-23939471.249999255</v>
      </c>
    </row>
    <row r="67" spans="1:23" x14ac:dyDescent="0.3">
      <c r="A67" s="91" t="s">
        <v>12</v>
      </c>
      <c r="B67" s="55"/>
      <c r="C67" s="233">
        <v>3069</v>
      </c>
      <c r="D67" s="233">
        <v>3088</v>
      </c>
      <c r="E67" s="233">
        <f t="shared" si="37"/>
        <v>19</v>
      </c>
      <c r="F67" s="233">
        <v>3169</v>
      </c>
      <c r="G67" s="233">
        <v>3398</v>
      </c>
      <c r="H67" s="233">
        <f t="shared" si="38"/>
        <v>229</v>
      </c>
      <c r="J67" s="91">
        <f t="shared" si="43"/>
        <v>14154228</v>
      </c>
      <c r="K67" s="41">
        <v>14072761.820000157</v>
      </c>
      <c r="L67" s="39">
        <f t="shared" si="39"/>
        <v>-81466.17999984324</v>
      </c>
      <c r="M67" s="35">
        <f t="shared" si="44"/>
        <v>14891131</v>
      </c>
      <c r="N67" s="37">
        <v>15967202</v>
      </c>
      <c r="O67" s="29">
        <f t="shared" si="40"/>
        <v>1076071</v>
      </c>
      <c r="Q67" s="91">
        <f t="shared" si="45"/>
        <v>130244984.10000001</v>
      </c>
      <c r="R67" s="41">
        <v>133790202.58000024</v>
      </c>
      <c r="S67" s="11">
        <f t="shared" si="41"/>
        <v>3545218.4800002277</v>
      </c>
      <c r="T67" s="35">
        <f t="shared" si="46"/>
        <v>134488874.09999999</v>
      </c>
      <c r="U67" s="37">
        <v>145636405.44000059</v>
      </c>
      <c r="V67" s="29">
        <f t="shared" si="42"/>
        <v>11147531.3400006</v>
      </c>
    </row>
    <row r="68" spans="1:23" x14ac:dyDescent="0.3">
      <c r="A68" s="92" t="s">
        <v>23</v>
      </c>
      <c r="B68" s="55"/>
      <c r="C68" s="233">
        <v>3998</v>
      </c>
      <c r="D68" s="233"/>
      <c r="E68" s="233" t="str">
        <f t="shared" si="37"/>
        <v/>
      </c>
      <c r="F68" s="233">
        <v>3985</v>
      </c>
      <c r="G68" s="233"/>
      <c r="H68" s="233" t="str">
        <f t="shared" si="38"/>
        <v/>
      </c>
      <c r="J68" s="92">
        <f t="shared" si="43"/>
        <v>18438776</v>
      </c>
      <c r="K68" s="41"/>
      <c r="L68" s="39" t="str">
        <f t="shared" si="39"/>
        <v/>
      </c>
      <c r="M68" s="35">
        <f t="shared" si="44"/>
        <v>18725515</v>
      </c>
      <c r="N68" s="37"/>
      <c r="O68" s="29" t="str">
        <f t="shared" si="40"/>
        <v/>
      </c>
      <c r="Q68" s="92">
        <f t="shared" si="45"/>
        <v>169670722.20000002</v>
      </c>
      <c r="R68" s="41"/>
      <c r="S68" s="11" t="str">
        <f t="shared" si="41"/>
        <v/>
      </c>
      <c r="T68" s="35">
        <f t="shared" si="46"/>
        <v>169119016.5</v>
      </c>
      <c r="U68" s="37"/>
      <c r="V68" s="29" t="str">
        <f t="shared" si="42"/>
        <v/>
      </c>
    </row>
    <row r="69" spans="1:23" x14ac:dyDescent="0.3">
      <c r="A69" s="93" t="s">
        <v>24</v>
      </c>
      <c r="B69" s="55"/>
      <c r="C69" s="233">
        <v>3781</v>
      </c>
      <c r="D69" s="233"/>
      <c r="E69" s="233" t="str">
        <f t="shared" si="37"/>
        <v/>
      </c>
      <c r="F69" s="233">
        <v>3783</v>
      </c>
      <c r="G69" s="233"/>
      <c r="H69" s="233" t="str">
        <f t="shared" si="38"/>
        <v/>
      </c>
      <c r="J69" s="93">
        <f t="shared" si="43"/>
        <v>17437972</v>
      </c>
      <c r="K69" s="41"/>
      <c r="L69" s="39" t="str">
        <f t="shared" si="39"/>
        <v/>
      </c>
      <c r="M69" s="35">
        <f t="shared" si="44"/>
        <v>17776317</v>
      </c>
      <c r="N69" s="37"/>
      <c r="O69" s="29" t="str">
        <f t="shared" si="40"/>
        <v/>
      </c>
      <c r="Q69" s="93">
        <f t="shared" si="45"/>
        <v>160461480.90000001</v>
      </c>
      <c r="R69" s="41"/>
      <c r="S69" s="11" t="str">
        <f t="shared" si="41"/>
        <v/>
      </c>
      <c r="T69" s="35">
        <f t="shared" si="46"/>
        <v>160546358.70000002</v>
      </c>
      <c r="U69" s="37"/>
      <c r="V69" s="29" t="str">
        <f t="shared" si="42"/>
        <v/>
      </c>
    </row>
    <row r="70" spans="1:23" x14ac:dyDescent="0.3">
      <c r="A70" s="96" t="s">
        <v>25</v>
      </c>
      <c r="B70" s="55"/>
      <c r="C70" s="234">
        <v>3758</v>
      </c>
      <c r="D70" s="234"/>
      <c r="E70" s="234" t="str">
        <f t="shared" si="37"/>
        <v/>
      </c>
      <c r="F70" s="234">
        <v>3730</v>
      </c>
      <c r="G70" s="234"/>
      <c r="H70" s="234" t="str">
        <f t="shared" si="38"/>
        <v/>
      </c>
      <c r="J70" s="96">
        <f t="shared" si="43"/>
        <v>17331896</v>
      </c>
      <c r="K70" s="41"/>
      <c r="L70" s="12" t="str">
        <f t="shared" si="39"/>
        <v/>
      </c>
      <c r="M70" s="35">
        <f t="shared" si="44"/>
        <v>17527270</v>
      </c>
      <c r="N70" s="37"/>
      <c r="O70" s="30" t="str">
        <f t="shared" si="40"/>
        <v/>
      </c>
      <c r="Q70" s="96">
        <f t="shared" si="45"/>
        <v>159485386.20000002</v>
      </c>
      <c r="R70" s="41"/>
      <c r="S70" s="12" t="str">
        <f t="shared" si="41"/>
        <v/>
      </c>
      <c r="T70" s="35">
        <f t="shared" si="46"/>
        <v>158297097</v>
      </c>
      <c r="U70" s="37"/>
      <c r="V70" s="30" t="str">
        <f t="shared" si="42"/>
        <v/>
      </c>
    </row>
    <row r="71" spans="1:23" x14ac:dyDescent="0.3">
      <c r="A71" s="95" t="s">
        <v>26</v>
      </c>
      <c r="B71" s="55"/>
      <c r="C71" s="234">
        <v>3372</v>
      </c>
      <c r="D71" s="234"/>
      <c r="E71" s="234" t="str">
        <f t="shared" si="37"/>
        <v/>
      </c>
      <c r="F71" s="234">
        <v>3529</v>
      </c>
      <c r="G71" s="234"/>
      <c r="H71" s="234" t="str">
        <f t="shared" si="38"/>
        <v/>
      </c>
      <c r="J71" s="95">
        <f t="shared" si="43"/>
        <v>15551664</v>
      </c>
      <c r="K71" s="41"/>
      <c r="L71" s="12" t="str">
        <f t="shared" si="39"/>
        <v/>
      </c>
      <c r="M71" s="35">
        <f t="shared" si="44"/>
        <v>16582771</v>
      </c>
      <c r="N71" s="37"/>
      <c r="O71" s="30" t="str">
        <f t="shared" si="40"/>
        <v/>
      </c>
      <c r="Q71" s="95">
        <f t="shared" si="45"/>
        <v>143103970.80000001</v>
      </c>
      <c r="R71" s="41"/>
      <c r="S71" s="12" t="str">
        <f t="shared" si="41"/>
        <v/>
      </c>
      <c r="T71" s="35">
        <f t="shared" si="46"/>
        <v>149766878.09999999</v>
      </c>
      <c r="U71" s="37"/>
      <c r="V71" s="30" t="str">
        <f t="shared" si="42"/>
        <v/>
      </c>
    </row>
    <row r="72" spans="1:23" x14ac:dyDescent="0.3">
      <c r="A72" s="97" t="s">
        <v>27</v>
      </c>
      <c r="B72" s="55"/>
      <c r="C72" s="235">
        <v>2901</v>
      </c>
      <c r="D72" s="235"/>
      <c r="E72" s="235" t="str">
        <f t="shared" si="37"/>
        <v/>
      </c>
      <c r="F72" s="235">
        <v>2621</v>
      </c>
      <c r="G72" s="235"/>
      <c r="H72" s="235" t="str">
        <f t="shared" si="38"/>
        <v/>
      </c>
      <c r="J72" s="97">
        <f t="shared" si="43"/>
        <v>13379412</v>
      </c>
      <c r="K72" s="41"/>
      <c r="L72" s="12" t="str">
        <f t="shared" si="39"/>
        <v/>
      </c>
      <c r="M72" s="36">
        <f t="shared" si="44"/>
        <v>12316079</v>
      </c>
      <c r="N72" s="68"/>
      <c r="O72" s="31" t="str">
        <f t="shared" si="40"/>
        <v/>
      </c>
      <c r="Q72" s="97">
        <f t="shared" si="45"/>
        <v>123115248.90000001</v>
      </c>
      <c r="R72" s="41"/>
      <c r="S72" s="13" t="str">
        <f t="shared" si="41"/>
        <v/>
      </c>
      <c r="T72" s="36">
        <f t="shared" si="46"/>
        <v>111232356.90000001</v>
      </c>
      <c r="U72" s="68"/>
      <c r="V72" s="31" t="str">
        <f t="shared" si="42"/>
        <v/>
      </c>
    </row>
    <row r="73" spans="1:23" x14ac:dyDescent="0.3">
      <c r="A73" s="24" t="s">
        <v>0</v>
      </c>
      <c r="B73" s="55"/>
      <c r="C73" s="236">
        <f>SUM(C61:C72)</f>
        <v>43914</v>
      </c>
      <c r="D73" s="236">
        <f t="shared" ref="D73:H73" si="47">SUM(D61:D72)</f>
        <v>26165</v>
      </c>
      <c r="E73" s="236">
        <f t="shared" si="47"/>
        <v>61</v>
      </c>
      <c r="F73" s="236">
        <f t="shared" si="47"/>
        <v>44290</v>
      </c>
      <c r="G73" s="236">
        <f t="shared" si="47"/>
        <v>26245</v>
      </c>
      <c r="H73" s="236">
        <f t="shared" si="47"/>
        <v>-397</v>
      </c>
      <c r="J73" s="25">
        <f>SUM(J61:J72)</f>
        <v>208567991.32000065</v>
      </c>
      <c r="K73" s="26">
        <f t="shared" ref="K73:O73" si="48">SUM(K61:K72)</f>
        <v>127285836.25000139</v>
      </c>
      <c r="L73" s="26">
        <f t="shared" si="48"/>
        <v>857564.93000072427</v>
      </c>
      <c r="M73" s="26">
        <f>SUM(M61:M72)</f>
        <v>215625159</v>
      </c>
      <c r="N73" s="26">
        <f t="shared" si="48"/>
        <v>133006122</v>
      </c>
      <c r="O73" s="26">
        <f t="shared" si="48"/>
        <v>308915</v>
      </c>
      <c r="Q73" s="25">
        <f t="shared" ref="Q73:V73" si="49">SUM(Q61:Q72)</f>
        <v>1859910612.2200031</v>
      </c>
      <c r="R73" s="26">
        <f t="shared" si="49"/>
        <v>1101923919.320003</v>
      </c>
      <c r="S73" s="26">
        <f t="shared" si="49"/>
        <v>-2149883.8999997377</v>
      </c>
      <c r="T73" s="26">
        <f t="shared" si="49"/>
        <v>1876968920.7900007</v>
      </c>
      <c r="U73" s="26">
        <f t="shared" si="49"/>
        <v>1106203061.8099985</v>
      </c>
      <c r="V73" s="26">
        <f t="shared" si="49"/>
        <v>-21804151.780002147</v>
      </c>
    </row>
    <row r="74" spans="1:23" x14ac:dyDescent="0.3">
      <c r="A74" s="2"/>
      <c r="B74" s="55"/>
      <c r="C74" s="3"/>
      <c r="D74" s="3"/>
      <c r="E74" s="3"/>
      <c r="F74" s="3"/>
      <c r="G74" s="3"/>
      <c r="H74" s="8"/>
      <c r="J74" s="3"/>
      <c r="K74" s="3"/>
      <c r="L74" s="3"/>
      <c r="M74" s="3"/>
      <c r="N74" s="3"/>
      <c r="O74" s="8"/>
      <c r="Q74" s="15"/>
      <c r="R74" s="15"/>
      <c r="S74" s="15"/>
      <c r="T74" s="15"/>
      <c r="U74" s="15"/>
      <c r="V74" s="42"/>
    </row>
    <row r="75" spans="1:23" s="247" customFormat="1" x14ac:dyDescent="0.3">
      <c r="A75" s="247" t="s">
        <v>103</v>
      </c>
      <c r="B75" s="248"/>
      <c r="C75" s="272" t="s">
        <v>108</v>
      </c>
      <c r="D75" s="273"/>
      <c r="E75" s="246">
        <f>+C73</f>
        <v>43914</v>
      </c>
      <c r="F75" s="249"/>
      <c r="G75" s="250"/>
      <c r="H75" s="251"/>
      <c r="I75" s="248"/>
      <c r="J75" s="270" t="s">
        <v>112</v>
      </c>
      <c r="K75" s="271"/>
      <c r="L75" s="245">
        <f>+J73</f>
        <v>208567991.32000065</v>
      </c>
      <c r="M75" s="244"/>
      <c r="N75" s="258"/>
      <c r="O75" s="253"/>
      <c r="P75" s="248"/>
      <c r="Q75" s="270" t="s">
        <v>123</v>
      </c>
      <c r="R75" s="254"/>
      <c r="S75" s="265">
        <f>+Q73</f>
        <v>1859910612.2200031</v>
      </c>
      <c r="T75" s="254"/>
      <c r="U75" s="258"/>
      <c r="V75" s="253"/>
      <c r="W75" s="248"/>
    </row>
    <row r="76" spans="1:23" s="247" customFormat="1" x14ac:dyDescent="0.3">
      <c r="B76" s="248"/>
      <c r="C76" s="274" t="s">
        <v>109</v>
      </c>
      <c r="D76" s="275"/>
      <c r="E76" s="257"/>
      <c r="F76" s="257"/>
      <c r="G76" s="258">
        <f>+F73</f>
        <v>44290</v>
      </c>
      <c r="H76" s="253"/>
      <c r="I76" s="248"/>
      <c r="J76" s="270" t="s">
        <v>113</v>
      </c>
      <c r="K76" s="271"/>
      <c r="L76" s="244"/>
      <c r="M76" s="244"/>
      <c r="N76" s="266">
        <f>+M73</f>
        <v>215625159</v>
      </c>
      <c r="O76" s="259"/>
      <c r="P76" s="248"/>
      <c r="Q76" s="270" t="s">
        <v>124</v>
      </c>
      <c r="R76" s="260"/>
      <c r="S76" s="244"/>
      <c r="T76" s="244"/>
      <c r="U76" s="276">
        <f>+T73</f>
        <v>1876968920.7900007</v>
      </c>
      <c r="V76" s="261"/>
      <c r="W76" s="248"/>
    </row>
    <row r="77" spans="1:23" s="247" customFormat="1" x14ac:dyDescent="0.3">
      <c r="B77" s="248"/>
      <c r="C77" s="274" t="s">
        <v>110</v>
      </c>
      <c r="D77" s="275"/>
      <c r="E77" s="257">
        <f>+D73</f>
        <v>26165</v>
      </c>
      <c r="F77" s="257"/>
      <c r="G77" s="258">
        <f>+G73</f>
        <v>26245</v>
      </c>
      <c r="H77" s="262"/>
      <c r="I77" s="248"/>
      <c r="J77" s="270" t="s">
        <v>114</v>
      </c>
      <c r="K77" s="271"/>
      <c r="L77" s="245">
        <f>+K73</f>
        <v>127285836.25000139</v>
      </c>
      <c r="M77" s="244"/>
      <c r="N77" s="267">
        <f>+N73</f>
        <v>133006122</v>
      </c>
      <c r="O77" s="263"/>
      <c r="P77" s="248"/>
      <c r="Q77" s="270" t="s">
        <v>125</v>
      </c>
      <c r="R77" s="14"/>
      <c r="S77" s="245">
        <f>+R73</f>
        <v>1101923919.320003</v>
      </c>
      <c r="T77" s="14"/>
      <c r="U77" s="277">
        <f>+U73</f>
        <v>1106203061.8099985</v>
      </c>
      <c r="V77" s="263"/>
      <c r="W77" s="248"/>
    </row>
    <row r="78" spans="1:23" s="247" customFormat="1" x14ac:dyDescent="0.3">
      <c r="B78" s="248"/>
      <c r="C78" s="270" t="s">
        <v>111</v>
      </c>
      <c r="D78" s="271"/>
      <c r="E78" s="245">
        <f>+E75-E77</f>
        <v>17749</v>
      </c>
      <c r="F78" s="244"/>
      <c r="G78" s="245">
        <f>+G76-G77</f>
        <v>18045</v>
      </c>
      <c r="H78" s="261"/>
      <c r="I78" s="248"/>
      <c r="J78" s="270" t="s">
        <v>107</v>
      </c>
      <c r="K78" s="271"/>
      <c r="L78" s="245">
        <f>+L75+-L77</f>
        <v>81282155.069999263</v>
      </c>
      <c r="M78" s="244"/>
      <c r="N78" s="268">
        <f>+N76-N77</f>
        <v>82619037</v>
      </c>
      <c r="O78" s="264"/>
      <c r="P78" s="248"/>
      <c r="Q78" s="270" t="s">
        <v>126</v>
      </c>
      <c r="R78" s="265"/>
      <c r="S78" s="265">
        <f>+S75-S77</f>
        <v>757986692.9000001</v>
      </c>
      <c r="T78" s="265"/>
      <c r="U78" s="276">
        <f>+U76-U77</f>
        <v>770765858.98000216</v>
      </c>
      <c r="V78" s="264"/>
      <c r="W78" s="248"/>
    </row>
    <row r="79" spans="1:23" x14ac:dyDescent="0.3">
      <c r="A79" s="83"/>
      <c r="B79" s="79"/>
      <c r="C79" s="56"/>
      <c r="D79" s="56"/>
      <c r="E79" s="56"/>
      <c r="F79" s="56"/>
      <c r="G79" s="56"/>
      <c r="H79" s="57"/>
      <c r="J79" s="56"/>
      <c r="K79" s="56"/>
      <c r="L79" s="56"/>
      <c r="M79" s="56"/>
      <c r="N79" s="56"/>
      <c r="O79" s="57"/>
      <c r="Q79" s="61">
        <f>IF(N79&gt;N81,1,IF(N79=N81,0,IF(N79&lt;N81,-1,0)))</f>
        <v>0</v>
      </c>
      <c r="R79" s="62"/>
      <c r="S79" s="62"/>
      <c r="T79" s="62"/>
      <c r="U79" s="70"/>
      <c r="V79" s="71"/>
    </row>
    <row r="80" spans="1:23" x14ac:dyDescent="0.3">
      <c r="A80" s="109"/>
      <c r="B80" s="82"/>
      <c r="C80" s="4"/>
      <c r="D80" s="4"/>
      <c r="E80" s="4"/>
      <c r="F80" s="4"/>
      <c r="G80" s="4"/>
      <c r="H80" s="58"/>
      <c r="J80" s="4"/>
      <c r="K80" s="4"/>
      <c r="L80" s="4"/>
      <c r="M80" s="4"/>
      <c r="N80" s="4"/>
      <c r="O80" s="58"/>
      <c r="Q80" s="63"/>
      <c r="R80" s="23"/>
      <c r="S80" s="23"/>
      <c r="T80" s="23"/>
      <c r="U80" s="4"/>
      <c r="V80" s="58"/>
    </row>
    <row r="81" spans="1:22" x14ac:dyDescent="0.3">
      <c r="A81" s="84"/>
      <c r="B81" s="82"/>
      <c r="C81" s="59"/>
      <c r="D81" s="59"/>
      <c r="E81" s="59"/>
      <c r="F81" s="59"/>
      <c r="G81" s="59"/>
      <c r="H81" s="60"/>
      <c r="J81" s="59"/>
      <c r="K81" s="59"/>
      <c r="L81" s="59"/>
      <c r="M81" s="59"/>
      <c r="N81" s="59"/>
      <c r="O81" s="60"/>
      <c r="Q81" s="64"/>
      <c r="R81" s="65"/>
      <c r="S81" s="65"/>
      <c r="T81" s="65"/>
      <c r="U81" s="72"/>
      <c r="V81" s="73"/>
    </row>
    <row r="82" spans="1:22" ht="15" thickBot="1" x14ac:dyDescent="0.35">
      <c r="A82" s="21"/>
      <c r="C82" s="21"/>
      <c r="D82" s="21"/>
      <c r="E82" s="21"/>
      <c r="F82" s="21"/>
      <c r="G82" s="21"/>
      <c r="H82" s="21"/>
      <c r="J82" s="21"/>
      <c r="K82" s="21"/>
      <c r="L82" s="21"/>
      <c r="M82" s="21"/>
      <c r="N82" s="21"/>
      <c r="O82" s="21"/>
      <c r="Q82" s="21"/>
      <c r="R82" s="21"/>
      <c r="S82" s="21"/>
      <c r="T82" s="21"/>
      <c r="U82" s="21"/>
      <c r="V82" s="21"/>
    </row>
    <row r="83" spans="1:22" ht="15" thickBot="1" x14ac:dyDescent="0.35">
      <c r="A83" s="240"/>
      <c r="B83" s="85"/>
      <c r="C83" s="237"/>
      <c r="D83" s="237"/>
      <c r="E83" s="241"/>
      <c r="F83" s="241"/>
      <c r="G83" s="242"/>
      <c r="H83" s="242"/>
      <c r="J83" s="237"/>
      <c r="K83" s="237"/>
      <c r="L83" s="241"/>
      <c r="M83" s="241"/>
      <c r="N83" s="242"/>
      <c r="O83" s="242"/>
      <c r="Q83" s="143" t="s">
        <v>49</v>
      </c>
      <c r="R83" s="76">
        <v>42438.9</v>
      </c>
      <c r="S83" s="66"/>
      <c r="T83" s="66"/>
      <c r="U83" s="76"/>
      <c r="V83" s="77"/>
    </row>
    <row r="84" spans="1:22" x14ac:dyDescent="0.3">
      <c r="A84" s="21"/>
      <c r="C84" s="21"/>
      <c r="D84" s="21"/>
      <c r="E84" s="21"/>
      <c r="F84" s="21"/>
      <c r="G84" s="21"/>
      <c r="H84" s="21"/>
      <c r="J84" s="21"/>
      <c r="K84" s="21"/>
      <c r="L84" s="21"/>
      <c r="M84" s="21"/>
      <c r="N84" s="21"/>
      <c r="O84" s="21"/>
      <c r="Q84" s="21"/>
      <c r="R84" s="21"/>
      <c r="S84" s="21"/>
      <c r="T84" s="21"/>
      <c r="U84" s="21"/>
      <c r="V84" s="21"/>
    </row>
    <row r="85" spans="1:22" x14ac:dyDescent="0.3">
      <c r="A85" s="86"/>
      <c r="B85" s="86"/>
      <c r="C85" s="67"/>
      <c r="D85" s="67"/>
      <c r="E85" s="21"/>
      <c r="F85" s="21"/>
      <c r="G85" s="21"/>
      <c r="H85" s="21"/>
      <c r="J85" s="67"/>
      <c r="K85" s="67"/>
      <c r="L85" s="21"/>
      <c r="M85" s="21"/>
      <c r="N85" s="21"/>
      <c r="O85" s="21"/>
      <c r="Q85" s="67"/>
      <c r="R85" s="67"/>
      <c r="S85" s="21"/>
      <c r="T85" s="21"/>
      <c r="U85" s="21"/>
      <c r="V85" s="21"/>
    </row>
    <row r="86" spans="1:22" x14ac:dyDescent="0.3">
      <c r="A86" s="21"/>
      <c r="C86" s="21"/>
      <c r="D86" s="21"/>
      <c r="E86" s="21"/>
      <c r="F86" s="21"/>
      <c r="G86" s="21"/>
      <c r="H86" s="50"/>
      <c r="J86" s="21"/>
      <c r="K86" s="21"/>
      <c r="L86" s="21"/>
      <c r="M86" s="21"/>
      <c r="N86" s="21"/>
      <c r="O86" s="50"/>
      <c r="Q86" s="21"/>
      <c r="R86" s="21"/>
      <c r="S86" s="21"/>
      <c r="T86" s="21"/>
      <c r="U86" s="21"/>
      <c r="V86" s="50"/>
    </row>
    <row r="88" spans="1:22" ht="43.2" customHeight="1" x14ac:dyDescent="0.3">
      <c r="A88" s="9" t="s">
        <v>22</v>
      </c>
      <c r="B88" s="54"/>
      <c r="C88" s="357" t="s">
        <v>162</v>
      </c>
      <c r="D88" s="358"/>
      <c r="E88" s="358"/>
      <c r="F88" s="358"/>
      <c r="G88" s="358"/>
      <c r="H88" s="359"/>
      <c r="J88" s="357" t="s">
        <v>157</v>
      </c>
      <c r="K88" s="358"/>
      <c r="L88" s="358"/>
      <c r="M88" s="358"/>
      <c r="N88" s="358"/>
      <c r="O88" s="359"/>
      <c r="Q88" s="357" t="s">
        <v>161</v>
      </c>
      <c r="R88" s="358"/>
      <c r="S88" s="358"/>
      <c r="T88" s="358"/>
      <c r="U88" s="358"/>
      <c r="V88" s="359"/>
    </row>
    <row r="89" spans="1:22" ht="46.8" x14ac:dyDescent="0.3">
      <c r="A89" s="10"/>
      <c r="C89" s="80" t="s">
        <v>13</v>
      </c>
      <c r="D89" s="80" t="s">
        <v>14</v>
      </c>
      <c r="E89" s="80" t="s">
        <v>55</v>
      </c>
      <c r="F89" s="80" t="s">
        <v>16</v>
      </c>
      <c r="G89" s="80" t="s">
        <v>15</v>
      </c>
      <c r="H89" s="80" t="s">
        <v>55</v>
      </c>
      <c r="J89" s="80" t="s">
        <v>105</v>
      </c>
      <c r="K89" s="81" t="s">
        <v>106</v>
      </c>
      <c r="L89" s="80" t="s">
        <v>55</v>
      </c>
      <c r="M89" s="80" t="s">
        <v>17</v>
      </c>
      <c r="N89" s="80" t="s">
        <v>18</v>
      </c>
      <c r="O89" s="80" t="s">
        <v>55</v>
      </c>
      <c r="Q89" s="80" t="s">
        <v>45</v>
      </c>
      <c r="R89" s="81" t="s">
        <v>46</v>
      </c>
      <c r="S89" s="80" t="s">
        <v>55</v>
      </c>
      <c r="T89" s="80" t="s">
        <v>47</v>
      </c>
      <c r="U89" s="80" t="s">
        <v>48</v>
      </c>
      <c r="V89" s="80" t="s">
        <v>55</v>
      </c>
    </row>
    <row r="90" spans="1:22" x14ac:dyDescent="0.3">
      <c r="A90" s="32" t="s">
        <v>6</v>
      </c>
      <c r="B90" s="55"/>
      <c r="C90" s="230">
        <v>4974</v>
      </c>
      <c r="D90" s="230">
        <v>4974</v>
      </c>
      <c r="E90" s="230">
        <f>IF(D90=0, "", D90-C90)</f>
        <v>0</v>
      </c>
      <c r="F90" s="230">
        <v>4565</v>
      </c>
      <c r="G90" s="230">
        <v>4565</v>
      </c>
      <c r="H90" s="230">
        <f>IF(G90=0, "", G90-F90)</f>
        <v>0</v>
      </c>
      <c r="J90" s="32">
        <v>25824718.080000263</v>
      </c>
      <c r="K90" s="40">
        <v>25824718.080000263</v>
      </c>
      <c r="L90" s="27">
        <f>IF(K90=0, "", K90-J90)</f>
        <v>0</v>
      </c>
      <c r="M90" s="33">
        <v>24192482</v>
      </c>
      <c r="N90" s="38">
        <v>24192482</v>
      </c>
      <c r="O90" s="6">
        <f>IF(N90=0, "", N90-M90)</f>
        <v>0</v>
      </c>
      <c r="Q90" s="32">
        <v>232361627.47000155</v>
      </c>
      <c r="R90" s="40">
        <v>232361627.47000155</v>
      </c>
      <c r="S90" s="27">
        <f>IF(R90=0, "", R90-Q90)</f>
        <v>0</v>
      </c>
      <c r="T90" s="33">
        <v>217042021.50000137</v>
      </c>
      <c r="U90" s="38">
        <v>217042021.50000137</v>
      </c>
      <c r="V90" s="6">
        <f>IF(U90=0, "", U90-T90)</f>
        <v>0</v>
      </c>
    </row>
    <row r="91" spans="1:22" x14ac:dyDescent="0.3">
      <c r="A91" s="87" t="s">
        <v>7</v>
      </c>
      <c r="B91" s="55"/>
      <c r="C91" s="231">
        <v>5239</v>
      </c>
      <c r="D91" s="231">
        <v>5239</v>
      </c>
      <c r="E91" s="232">
        <f t="shared" ref="E91:E101" si="50">IF(D91=0, "", D91-C91)</f>
        <v>0</v>
      </c>
      <c r="F91" s="231">
        <v>5181</v>
      </c>
      <c r="G91" s="232">
        <v>5181</v>
      </c>
      <c r="H91" s="232">
        <f t="shared" ref="H91:H101" si="51">IF(G91=0, "", G91-F91)</f>
        <v>0</v>
      </c>
      <c r="J91" s="87">
        <v>27064080.090000015</v>
      </c>
      <c r="K91" s="41">
        <v>27064080.090000015</v>
      </c>
      <c r="L91" s="28">
        <f t="shared" ref="L91:L101" si="52">IF(K91=0, "", K91-J91)</f>
        <v>0</v>
      </c>
      <c r="M91" s="34">
        <v>27455264</v>
      </c>
      <c r="N91" s="69">
        <v>27455264</v>
      </c>
      <c r="O91" s="7">
        <f t="shared" ref="O91:O101" si="53">IF(N91=0, "", N91-M91)</f>
        <v>0</v>
      </c>
      <c r="Q91" s="87">
        <v>239286775.32000208</v>
      </c>
      <c r="R91" s="41">
        <v>239286775.32000208</v>
      </c>
      <c r="S91" s="28">
        <f t="shared" ref="S91:S101" si="54">IF(R91=0, "", R91-Q91)</f>
        <v>0</v>
      </c>
      <c r="T91" s="34">
        <v>238790392.85000211</v>
      </c>
      <c r="U91" s="69">
        <v>238790392.85000211</v>
      </c>
      <c r="V91" s="7">
        <f t="shared" ref="V91:V101" si="55">IF(U91=0, "", U91-T91)</f>
        <v>0</v>
      </c>
    </row>
    <row r="92" spans="1:22" x14ac:dyDescent="0.3">
      <c r="A92" s="88" t="s">
        <v>8</v>
      </c>
      <c r="B92" s="55"/>
      <c r="C92" s="232">
        <v>6158</v>
      </c>
      <c r="D92" s="232">
        <v>6158</v>
      </c>
      <c r="E92" s="232">
        <f t="shared" si="50"/>
        <v>0</v>
      </c>
      <c r="F92" s="232">
        <v>6438</v>
      </c>
      <c r="G92" s="232">
        <v>6438</v>
      </c>
      <c r="H92" s="232">
        <f t="shared" si="51"/>
        <v>0</v>
      </c>
      <c r="J92" s="88">
        <v>31845194.989998508</v>
      </c>
      <c r="K92" s="41">
        <v>31845194.989998508</v>
      </c>
      <c r="L92" s="28">
        <f t="shared" si="52"/>
        <v>0</v>
      </c>
      <c r="M92" s="35">
        <v>34119170</v>
      </c>
      <c r="N92" s="37">
        <v>34119170</v>
      </c>
      <c r="O92" s="7">
        <f t="shared" si="53"/>
        <v>0</v>
      </c>
      <c r="Q92" s="88">
        <v>279333444.51000047</v>
      </c>
      <c r="R92" s="41">
        <v>279333444.51000047</v>
      </c>
      <c r="S92" s="28">
        <f t="shared" si="54"/>
        <v>0</v>
      </c>
      <c r="T92" s="35">
        <v>292323524.13999891</v>
      </c>
      <c r="U92" s="37">
        <v>292323524.13999891</v>
      </c>
      <c r="V92" s="7">
        <f t="shared" si="55"/>
        <v>0</v>
      </c>
    </row>
    <row r="93" spans="1:22" x14ac:dyDescent="0.3">
      <c r="A93" s="89" t="s">
        <v>9</v>
      </c>
      <c r="B93" s="55"/>
      <c r="C93" s="232">
        <v>5298</v>
      </c>
      <c r="D93" s="232">
        <v>5443</v>
      </c>
      <c r="E93" s="232">
        <f t="shared" si="50"/>
        <v>145</v>
      </c>
      <c r="F93" s="232">
        <v>5389</v>
      </c>
      <c r="G93" s="232">
        <v>5637</v>
      </c>
      <c r="H93" s="232">
        <f t="shared" si="51"/>
        <v>248</v>
      </c>
      <c r="J93" s="89">
        <f t="shared" ref="J93:J101" si="56">C93*$N$28</f>
        <v>24434376</v>
      </c>
      <c r="K93" s="41">
        <v>27830969.469998647</v>
      </c>
      <c r="L93" s="28">
        <f t="shared" si="52"/>
        <v>3396593.4699986465</v>
      </c>
      <c r="M93" s="35">
        <f t="shared" ref="M93:M101" si="57">$N$26*F93</f>
        <v>25322911</v>
      </c>
      <c r="N93" s="37">
        <v>29876100</v>
      </c>
      <c r="O93" s="7">
        <f t="shared" si="53"/>
        <v>4553189</v>
      </c>
      <c r="Q93" s="89">
        <f t="shared" ref="Q93:Q101" si="58">+$R$112*C93</f>
        <v>252307872.54000002</v>
      </c>
      <c r="R93" s="41">
        <v>253951528.72999817</v>
      </c>
      <c r="S93" s="28">
        <f t="shared" si="54"/>
        <v>1643656.1899981499</v>
      </c>
      <c r="T93" s="35">
        <f t="shared" ref="T93:T101" si="59">+$R$112*F93</f>
        <v>256641586.47000003</v>
      </c>
      <c r="U93" s="37">
        <v>260707835.64000294</v>
      </c>
      <c r="V93" s="7">
        <f t="shared" si="55"/>
        <v>4066249.1700029075</v>
      </c>
    </row>
    <row r="94" spans="1:22" x14ac:dyDescent="0.3">
      <c r="A94" s="94" t="s">
        <v>10</v>
      </c>
      <c r="B94" s="55"/>
      <c r="C94" s="233">
        <v>3461</v>
      </c>
      <c r="D94" s="233">
        <v>3433</v>
      </c>
      <c r="E94" s="233">
        <f t="shared" si="50"/>
        <v>-28</v>
      </c>
      <c r="F94" s="233">
        <v>3553</v>
      </c>
      <c r="G94" s="233">
        <v>3808</v>
      </c>
      <c r="H94" s="233">
        <f t="shared" si="51"/>
        <v>255</v>
      </c>
      <c r="J94" s="94">
        <f t="shared" si="56"/>
        <v>15962132</v>
      </c>
      <c r="K94" s="41">
        <v>16017658.850000389</v>
      </c>
      <c r="L94" s="39">
        <f t="shared" si="52"/>
        <v>55526.85000038892</v>
      </c>
      <c r="M94" s="35">
        <f t="shared" si="57"/>
        <v>16695547</v>
      </c>
      <c r="N94" s="37">
        <v>17890186</v>
      </c>
      <c r="O94" s="29">
        <f t="shared" si="53"/>
        <v>1194639</v>
      </c>
      <c r="Q94" s="94">
        <f t="shared" si="58"/>
        <v>164823999.03</v>
      </c>
      <c r="R94" s="41">
        <v>166363491.69999787</v>
      </c>
      <c r="S94" s="11">
        <f t="shared" si="54"/>
        <v>1539492.6699978709</v>
      </c>
      <c r="T94" s="35">
        <f t="shared" si="59"/>
        <v>169205336.19</v>
      </c>
      <c r="U94" s="37">
        <v>182873537.31000537</v>
      </c>
      <c r="V94" s="29">
        <f t="shared" si="55"/>
        <v>13668201.120005369</v>
      </c>
    </row>
    <row r="95" spans="1:22" x14ac:dyDescent="0.3">
      <c r="A95" s="90" t="s">
        <v>11</v>
      </c>
      <c r="B95" s="55"/>
      <c r="C95" s="233">
        <v>3512</v>
      </c>
      <c r="D95" s="233">
        <v>3568</v>
      </c>
      <c r="E95" s="233">
        <f t="shared" si="50"/>
        <v>56</v>
      </c>
      <c r="F95" s="233">
        <v>3671</v>
      </c>
      <c r="G95" s="233">
        <v>3103</v>
      </c>
      <c r="H95" s="233">
        <f t="shared" si="51"/>
        <v>-568</v>
      </c>
      <c r="J95" s="90">
        <f t="shared" si="56"/>
        <v>16197344</v>
      </c>
      <c r="K95" s="41">
        <v>16754674.549999723</v>
      </c>
      <c r="L95" s="39">
        <f t="shared" si="52"/>
        <v>557330.54999972321</v>
      </c>
      <c r="M95" s="35">
        <f t="shared" si="57"/>
        <v>17250029</v>
      </c>
      <c r="N95" s="37">
        <v>14580997</v>
      </c>
      <c r="O95" s="29">
        <f t="shared" si="53"/>
        <v>-2669032</v>
      </c>
      <c r="Q95" s="90">
        <f t="shared" si="58"/>
        <v>167252783.76000002</v>
      </c>
      <c r="R95" s="41">
        <v>181123189.77000028</v>
      </c>
      <c r="S95" s="11">
        <f t="shared" si="54"/>
        <v>13870406.010000259</v>
      </c>
      <c r="T95" s="35">
        <f t="shared" si="59"/>
        <v>174824877.33000001</v>
      </c>
      <c r="U95" s="37">
        <v>158817559.85000014</v>
      </c>
      <c r="V95" s="29">
        <f t="shared" si="55"/>
        <v>-16007317.47999987</v>
      </c>
    </row>
    <row r="96" spans="1:22" x14ac:dyDescent="0.3">
      <c r="A96" s="91" t="s">
        <v>12</v>
      </c>
      <c r="B96" s="55"/>
      <c r="C96" s="233">
        <v>3989</v>
      </c>
      <c r="D96" s="233">
        <v>4008</v>
      </c>
      <c r="E96" s="233">
        <f t="shared" si="50"/>
        <v>19</v>
      </c>
      <c r="F96" s="233">
        <v>4134</v>
      </c>
      <c r="G96" s="233">
        <v>4158</v>
      </c>
      <c r="H96" s="233">
        <f t="shared" si="51"/>
        <v>24</v>
      </c>
      <c r="J96" s="91">
        <f t="shared" si="56"/>
        <v>18397268</v>
      </c>
      <c r="K96" s="41">
        <v>18645884.6399999</v>
      </c>
      <c r="L96" s="39">
        <f t="shared" si="52"/>
        <v>248616.63999990001</v>
      </c>
      <c r="M96" s="35">
        <f t="shared" si="57"/>
        <v>19425666</v>
      </c>
      <c r="N96" s="37">
        <v>19538442</v>
      </c>
      <c r="O96" s="29">
        <f t="shared" si="53"/>
        <v>112776</v>
      </c>
      <c r="Q96" s="91">
        <f t="shared" si="58"/>
        <v>189969064.47</v>
      </c>
      <c r="R96" s="41">
        <v>190521540.52000383</v>
      </c>
      <c r="S96" s="11">
        <f t="shared" si="54"/>
        <v>552476.05000382662</v>
      </c>
      <c r="T96" s="35">
        <f t="shared" si="59"/>
        <v>196874432.82000002</v>
      </c>
      <c r="U96" s="37">
        <v>196584576.93999648</v>
      </c>
      <c r="V96" s="29">
        <f t="shared" si="55"/>
        <v>-289855.88000354171</v>
      </c>
    </row>
    <row r="97" spans="1:23" x14ac:dyDescent="0.3">
      <c r="A97" s="92" t="s">
        <v>23</v>
      </c>
      <c r="B97" s="55"/>
      <c r="C97" s="233">
        <v>5254</v>
      </c>
      <c r="D97" s="233"/>
      <c r="E97" s="233" t="str">
        <f t="shared" si="50"/>
        <v/>
      </c>
      <c r="F97" s="233">
        <v>5253</v>
      </c>
      <c r="G97" s="233"/>
      <c r="H97" s="233" t="str">
        <f t="shared" si="51"/>
        <v/>
      </c>
      <c r="J97" s="92">
        <f t="shared" si="56"/>
        <v>24231448</v>
      </c>
      <c r="K97" s="41"/>
      <c r="L97" s="39" t="str">
        <f t="shared" si="52"/>
        <v/>
      </c>
      <c r="M97" s="35">
        <f t="shared" si="57"/>
        <v>24683847</v>
      </c>
      <c r="N97" s="37"/>
      <c r="O97" s="29" t="str">
        <f t="shared" si="53"/>
        <v/>
      </c>
      <c r="Q97" s="92">
        <f t="shared" si="58"/>
        <v>250212450.42000002</v>
      </c>
      <c r="R97" s="41"/>
      <c r="S97" s="11" t="str">
        <f t="shared" si="54"/>
        <v/>
      </c>
      <c r="T97" s="35">
        <f t="shared" si="59"/>
        <v>250164827.19000003</v>
      </c>
      <c r="U97" s="37"/>
      <c r="V97" s="29" t="str">
        <f t="shared" si="55"/>
        <v/>
      </c>
    </row>
    <row r="98" spans="1:23" x14ac:dyDescent="0.3">
      <c r="A98" s="93" t="s">
        <v>24</v>
      </c>
      <c r="B98" s="55"/>
      <c r="C98" s="233">
        <v>4990</v>
      </c>
      <c r="D98" s="233"/>
      <c r="E98" s="233" t="str">
        <f t="shared" si="50"/>
        <v/>
      </c>
      <c r="F98" s="233">
        <v>5000</v>
      </c>
      <c r="G98" s="233"/>
      <c r="H98" s="233" t="str">
        <f t="shared" si="51"/>
        <v/>
      </c>
      <c r="J98" s="93">
        <f t="shared" si="56"/>
        <v>23013880</v>
      </c>
      <c r="K98" s="41"/>
      <c r="L98" s="39" t="str">
        <f t="shared" si="52"/>
        <v/>
      </c>
      <c r="M98" s="35">
        <f t="shared" si="57"/>
        <v>23495000</v>
      </c>
      <c r="N98" s="37"/>
      <c r="O98" s="29" t="str">
        <f t="shared" si="53"/>
        <v/>
      </c>
      <c r="Q98" s="93">
        <f t="shared" si="58"/>
        <v>237639917.70000002</v>
      </c>
      <c r="R98" s="41"/>
      <c r="S98" s="11" t="str">
        <f t="shared" si="54"/>
        <v/>
      </c>
      <c r="T98" s="35">
        <f t="shared" si="59"/>
        <v>238116150.00000003</v>
      </c>
      <c r="U98" s="37"/>
      <c r="V98" s="29" t="str">
        <f t="shared" si="55"/>
        <v/>
      </c>
    </row>
    <row r="99" spans="1:23" x14ac:dyDescent="0.3">
      <c r="A99" s="96" t="s">
        <v>25</v>
      </c>
      <c r="B99" s="55"/>
      <c r="C99" s="234">
        <v>4933</v>
      </c>
      <c r="D99" s="234"/>
      <c r="E99" s="234" t="str">
        <f t="shared" si="50"/>
        <v/>
      </c>
      <c r="F99" s="234">
        <v>4908</v>
      </c>
      <c r="G99" s="234"/>
      <c r="H99" s="234" t="str">
        <f t="shared" si="51"/>
        <v/>
      </c>
      <c r="J99" s="96">
        <f t="shared" si="56"/>
        <v>22750996</v>
      </c>
      <c r="K99" s="41"/>
      <c r="L99" s="12" t="str">
        <f t="shared" si="52"/>
        <v/>
      </c>
      <c r="M99" s="35">
        <f t="shared" si="57"/>
        <v>23062692</v>
      </c>
      <c r="N99" s="37"/>
      <c r="O99" s="30" t="str">
        <f t="shared" si="53"/>
        <v/>
      </c>
      <c r="Q99" s="96">
        <f t="shared" si="58"/>
        <v>234925393.59</v>
      </c>
      <c r="R99" s="41"/>
      <c r="S99" s="12" t="str">
        <f t="shared" si="54"/>
        <v/>
      </c>
      <c r="T99" s="35">
        <f t="shared" si="59"/>
        <v>233734812.84</v>
      </c>
      <c r="U99" s="37"/>
      <c r="V99" s="30" t="str">
        <f t="shared" si="55"/>
        <v/>
      </c>
    </row>
    <row r="100" spans="1:23" x14ac:dyDescent="0.3">
      <c r="A100" s="95" t="s">
        <v>26</v>
      </c>
      <c r="B100" s="55"/>
      <c r="C100" s="234">
        <v>4417</v>
      </c>
      <c r="D100" s="234"/>
      <c r="E100" s="234" t="str">
        <f t="shared" si="50"/>
        <v/>
      </c>
      <c r="F100" s="234">
        <v>4637</v>
      </c>
      <c r="G100" s="234"/>
      <c r="H100" s="234" t="str">
        <f t="shared" si="51"/>
        <v/>
      </c>
      <c r="J100" s="95">
        <f t="shared" si="56"/>
        <v>20371204</v>
      </c>
      <c r="K100" s="41"/>
      <c r="L100" s="12" t="str">
        <f t="shared" si="52"/>
        <v/>
      </c>
      <c r="M100" s="35">
        <f t="shared" si="57"/>
        <v>21789263</v>
      </c>
      <c r="N100" s="37"/>
      <c r="O100" s="30" t="str">
        <f t="shared" si="53"/>
        <v/>
      </c>
      <c r="Q100" s="95">
        <f t="shared" si="58"/>
        <v>210351806.91000003</v>
      </c>
      <c r="R100" s="41"/>
      <c r="S100" s="12" t="str">
        <f t="shared" si="54"/>
        <v/>
      </c>
      <c r="T100" s="35">
        <f t="shared" si="59"/>
        <v>220828917.51000002</v>
      </c>
      <c r="U100" s="37"/>
      <c r="V100" s="30" t="str">
        <f t="shared" si="55"/>
        <v/>
      </c>
    </row>
    <row r="101" spans="1:23" x14ac:dyDescent="0.3">
      <c r="A101" s="97" t="s">
        <v>27</v>
      </c>
      <c r="B101" s="55"/>
      <c r="C101" s="235">
        <v>3755</v>
      </c>
      <c r="D101" s="235"/>
      <c r="E101" s="235" t="str">
        <f t="shared" si="50"/>
        <v/>
      </c>
      <c r="F101" s="235">
        <v>3427</v>
      </c>
      <c r="G101" s="235"/>
      <c r="H101" s="235" t="str">
        <f t="shared" si="51"/>
        <v/>
      </c>
      <c r="J101" s="97">
        <f t="shared" si="56"/>
        <v>17318060</v>
      </c>
      <c r="K101" s="41"/>
      <c r="L101" s="12" t="str">
        <f t="shared" si="52"/>
        <v/>
      </c>
      <c r="M101" s="36">
        <f t="shared" si="57"/>
        <v>16103473</v>
      </c>
      <c r="N101" s="68"/>
      <c r="O101" s="31" t="str">
        <f t="shared" si="53"/>
        <v/>
      </c>
      <c r="Q101" s="97">
        <f t="shared" si="58"/>
        <v>178825228.65000001</v>
      </c>
      <c r="R101" s="41"/>
      <c r="S101" s="13" t="str">
        <f t="shared" si="54"/>
        <v/>
      </c>
      <c r="T101" s="36">
        <f t="shared" si="59"/>
        <v>163204809.21000001</v>
      </c>
      <c r="U101" s="68"/>
      <c r="V101" s="31" t="str">
        <f t="shared" si="55"/>
        <v/>
      </c>
    </row>
    <row r="102" spans="1:23" x14ac:dyDescent="0.3">
      <c r="A102" s="24" t="s">
        <v>0</v>
      </c>
      <c r="B102" s="55"/>
      <c r="C102" s="236">
        <f>SUM(C90:C101)</f>
        <v>55980</v>
      </c>
      <c r="D102" s="236">
        <f t="shared" ref="D102:H102" si="60">SUM(D90:D101)</f>
        <v>32823</v>
      </c>
      <c r="E102" s="236">
        <f t="shared" si="60"/>
        <v>192</v>
      </c>
      <c r="F102" s="236">
        <f t="shared" si="60"/>
        <v>56156</v>
      </c>
      <c r="G102" s="236">
        <f t="shared" si="60"/>
        <v>32890</v>
      </c>
      <c r="H102" s="236">
        <f t="shared" si="60"/>
        <v>-41</v>
      </c>
      <c r="J102" s="25">
        <f>SUM(J90:J101)</f>
        <v>267410701.15999877</v>
      </c>
      <c r="K102" s="26">
        <f t="shared" ref="K102:O102" si="61">SUM(K90:K101)</f>
        <v>163983180.66999742</v>
      </c>
      <c r="L102" s="26">
        <f t="shared" si="61"/>
        <v>4258067.5099986587</v>
      </c>
      <c r="M102" s="26">
        <f t="shared" si="61"/>
        <v>273595344</v>
      </c>
      <c r="N102" s="26">
        <f t="shared" si="61"/>
        <v>167652641</v>
      </c>
      <c r="O102" s="26">
        <f t="shared" si="61"/>
        <v>3191572</v>
      </c>
      <c r="Q102" s="25">
        <f t="shared" ref="Q102:V102" si="62">SUM(Q90:Q101)</f>
        <v>2637290364.3700042</v>
      </c>
      <c r="R102" s="26">
        <f t="shared" si="62"/>
        <v>1542941598.0200043</v>
      </c>
      <c r="S102" s="26">
        <f t="shared" si="62"/>
        <v>17606030.920000106</v>
      </c>
      <c r="T102" s="26">
        <f t="shared" si="62"/>
        <v>2651751688.0500026</v>
      </c>
      <c r="U102" s="26">
        <f t="shared" si="62"/>
        <v>1547139448.2300074</v>
      </c>
      <c r="V102" s="26">
        <f t="shared" si="62"/>
        <v>1437276.9300048649</v>
      </c>
    </row>
    <row r="103" spans="1:23" x14ac:dyDescent="0.3">
      <c r="A103" s="2"/>
      <c r="B103" s="55"/>
      <c r="C103" s="3"/>
      <c r="D103" s="3"/>
      <c r="E103" s="3"/>
      <c r="F103" s="3"/>
      <c r="G103" s="3"/>
      <c r="H103" s="8"/>
      <c r="J103" s="3"/>
      <c r="K103" s="3"/>
      <c r="L103" s="3"/>
      <c r="M103" s="3"/>
      <c r="N103" s="3"/>
      <c r="O103" s="8"/>
      <c r="Q103" s="15"/>
      <c r="R103" s="15"/>
      <c r="S103" s="15"/>
      <c r="T103" s="15"/>
      <c r="U103" s="15"/>
      <c r="V103" s="42"/>
    </row>
    <row r="104" spans="1:23" s="247" customFormat="1" x14ac:dyDescent="0.3">
      <c r="A104" s="247" t="s">
        <v>103</v>
      </c>
      <c r="B104" s="248"/>
      <c r="C104" s="272" t="s">
        <v>108</v>
      </c>
      <c r="D104" s="273"/>
      <c r="E104" s="246">
        <f>+C102</f>
        <v>55980</v>
      </c>
      <c r="F104" s="249"/>
      <c r="G104" s="250"/>
      <c r="H104" s="251"/>
      <c r="I104" s="248"/>
      <c r="J104" s="270" t="s">
        <v>112</v>
      </c>
      <c r="K104" s="271"/>
      <c r="L104" s="245">
        <f>+J102</f>
        <v>267410701.15999877</v>
      </c>
      <c r="M104" s="244"/>
      <c r="N104" s="258"/>
      <c r="O104" s="253"/>
      <c r="P104" s="248"/>
      <c r="Q104" s="270" t="s">
        <v>131</v>
      </c>
      <c r="R104" s="254"/>
      <c r="S104" s="265">
        <f>+Q102</f>
        <v>2637290364.3700042</v>
      </c>
      <c r="T104" s="254"/>
      <c r="U104" s="258"/>
      <c r="V104" s="253"/>
      <c r="W104" s="248"/>
    </row>
    <row r="105" spans="1:23" s="247" customFormat="1" x14ac:dyDescent="0.3">
      <c r="B105" s="248"/>
      <c r="C105" s="274" t="s">
        <v>109</v>
      </c>
      <c r="D105" s="275"/>
      <c r="E105" s="257"/>
      <c r="F105" s="257"/>
      <c r="G105" s="258">
        <f>+F102</f>
        <v>56156</v>
      </c>
      <c r="H105" s="253"/>
      <c r="I105" s="248"/>
      <c r="J105" s="270" t="s">
        <v>113</v>
      </c>
      <c r="K105" s="271"/>
      <c r="L105" s="244"/>
      <c r="M105" s="244"/>
      <c r="N105" s="266">
        <f>+M102</f>
        <v>273595344</v>
      </c>
      <c r="O105" s="259"/>
      <c r="P105" s="248"/>
      <c r="Q105" s="270" t="s">
        <v>132</v>
      </c>
      <c r="R105" s="260"/>
      <c r="S105" s="244"/>
      <c r="T105" s="244"/>
      <c r="U105" s="276">
        <f>+T102</f>
        <v>2651751688.0500026</v>
      </c>
      <c r="V105" s="261"/>
      <c r="W105" s="248"/>
    </row>
    <row r="106" spans="1:23" s="247" customFormat="1" x14ac:dyDescent="0.3">
      <c r="B106" s="248"/>
      <c r="C106" s="274" t="s">
        <v>110</v>
      </c>
      <c r="D106" s="275"/>
      <c r="E106" s="257">
        <f>+D102</f>
        <v>32823</v>
      </c>
      <c r="F106" s="257"/>
      <c r="G106" s="258">
        <f>+G102</f>
        <v>32890</v>
      </c>
      <c r="H106" s="262"/>
      <c r="I106" s="248"/>
      <c r="J106" s="270" t="s">
        <v>114</v>
      </c>
      <c r="K106" s="271"/>
      <c r="L106" s="245">
        <f>+K102</f>
        <v>163983180.66999742</v>
      </c>
      <c r="M106" s="244"/>
      <c r="N106" s="267">
        <f>+N102</f>
        <v>167652641</v>
      </c>
      <c r="O106" s="263"/>
      <c r="P106" s="248"/>
      <c r="Q106" s="270" t="s">
        <v>133</v>
      </c>
      <c r="R106" s="14"/>
      <c r="S106" s="245">
        <f>+R102</f>
        <v>1542941598.0200043</v>
      </c>
      <c r="T106" s="14"/>
      <c r="U106" s="277">
        <f>+U102</f>
        <v>1547139448.2300074</v>
      </c>
      <c r="V106" s="263"/>
      <c r="W106" s="248"/>
    </row>
    <row r="107" spans="1:23" s="247" customFormat="1" x14ac:dyDescent="0.3">
      <c r="B107" s="248"/>
      <c r="C107" s="270" t="s">
        <v>111</v>
      </c>
      <c r="D107" s="271"/>
      <c r="E107" s="245">
        <f>+E104-E106</f>
        <v>23157</v>
      </c>
      <c r="F107" s="244"/>
      <c r="G107" s="245">
        <f>+G105-G106</f>
        <v>23266</v>
      </c>
      <c r="H107" s="261"/>
      <c r="I107" s="248"/>
      <c r="J107" s="270" t="s">
        <v>107</v>
      </c>
      <c r="K107" s="271"/>
      <c r="L107" s="245">
        <f>+L104+-L106</f>
        <v>103427520.49000135</v>
      </c>
      <c r="M107" s="244"/>
      <c r="N107" s="268">
        <f>+N105-N106</f>
        <v>105942703</v>
      </c>
      <c r="O107" s="264"/>
      <c r="P107" s="248"/>
      <c r="Q107" s="270" t="s">
        <v>134</v>
      </c>
      <c r="R107" s="265"/>
      <c r="S107" s="265">
        <f>+S104-S106</f>
        <v>1094348766.3499999</v>
      </c>
      <c r="T107" s="265"/>
      <c r="U107" s="276">
        <f>+U105-U106</f>
        <v>1104612239.8199952</v>
      </c>
      <c r="V107" s="264"/>
      <c r="W107" s="248"/>
    </row>
    <row r="108" spans="1:23" x14ac:dyDescent="0.3">
      <c r="A108" s="83"/>
      <c r="B108" s="79"/>
      <c r="C108" s="56"/>
      <c r="D108" s="56"/>
      <c r="E108" s="56"/>
      <c r="F108" s="56"/>
      <c r="G108" s="56"/>
      <c r="H108" s="57"/>
      <c r="J108" s="56"/>
      <c r="K108" s="56"/>
      <c r="L108" s="56"/>
      <c r="M108" s="56"/>
      <c r="N108" s="56"/>
      <c r="O108" s="57"/>
      <c r="Q108" s="61">
        <f>IF(N108&gt;N110,1,IF(N108=N110,0,IF(N108&lt;N110,-1,0)))</f>
        <v>0</v>
      </c>
      <c r="R108" s="62"/>
      <c r="S108" s="62"/>
      <c r="T108" s="62"/>
      <c r="U108" s="70"/>
      <c r="V108" s="71"/>
    </row>
    <row r="109" spans="1:23" x14ac:dyDescent="0.3">
      <c r="A109" s="109"/>
      <c r="B109" s="82"/>
      <c r="C109" s="4"/>
      <c r="D109" s="4"/>
      <c r="E109" s="4"/>
      <c r="F109" s="4"/>
      <c r="G109" s="4"/>
      <c r="H109" s="58"/>
      <c r="J109" s="4"/>
      <c r="K109" s="4"/>
      <c r="L109" s="4"/>
      <c r="M109" s="4"/>
      <c r="N109" s="4"/>
      <c r="O109" s="58"/>
      <c r="Q109" s="63"/>
      <c r="R109" s="23"/>
      <c r="S109" s="23"/>
      <c r="T109" s="23"/>
      <c r="U109" s="4"/>
      <c r="V109" s="58"/>
    </row>
    <row r="110" spans="1:23" x14ac:dyDescent="0.3">
      <c r="A110" s="84"/>
      <c r="B110" s="82"/>
      <c r="C110" s="59"/>
      <c r="D110" s="59"/>
      <c r="E110" s="59"/>
      <c r="F110" s="59"/>
      <c r="G110" s="59"/>
      <c r="H110" s="60"/>
      <c r="J110" s="59"/>
      <c r="K110" s="59"/>
      <c r="L110" s="59"/>
      <c r="M110" s="59"/>
      <c r="N110" s="59"/>
      <c r="O110" s="60"/>
      <c r="Q110" s="64"/>
      <c r="R110" s="65"/>
      <c r="S110" s="65"/>
      <c r="T110" s="65"/>
      <c r="U110" s="72"/>
      <c r="V110" s="73"/>
    </row>
    <row r="111" spans="1:23" ht="15" thickBot="1" x14ac:dyDescent="0.35">
      <c r="A111" s="21"/>
      <c r="C111" s="21"/>
      <c r="D111" s="21"/>
      <c r="E111" s="21"/>
      <c r="F111" s="21"/>
      <c r="G111" s="21"/>
      <c r="H111" s="21"/>
      <c r="J111" s="21"/>
      <c r="K111" s="21"/>
      <c r="L111" s="21"/>
      <c r="M111" s="21"/>
      <c r="N111" s="21"/>
      <c r="O111" s="21"/>
      <c r="Q111" s="21"/>
      <c r="R111" s="21"/>
      <c r="S111" s="21"/>
      <c r="T111" s="21"/>
      <c r="U111" s="21"/>
      <c r="V111" s="21"/>
    </row>
    <row r="112" spans="1:23" ht="15" thickBot="1" x14ac:dyDescent="0.35">
      <c r="A112" s="240"/>
      <c r="B112" s="85"/>
      <c r="C112" s="237"/>
      <c r="D112" s="237"/>
      <c r="E112" s="241"/>
      <c r="F112" s="241"/>
      <c r="G112" s="242"/>
      <c r="H112" s="242"/>
      <c r="J112" s="237"/>
      <c r="K112" s="237"/>
      <c r="L112" s="241"/>
      <c r="M112" s="241"/>
      <c r="N112" s="242"/>
      <c r="O112" s="242"/>
      <c r="Q112" s="143" t="s">
        <v>50</v>
      </c>
      <c r="R112" s="76">
        <v>47623.23</v>
      </c>
      <c r="S112" s="66"/>
      <c r="T112" s="66"/>
      <c r="U112" s="76"/>
      <c r="V112" s="77"/>
    </row>
    <row r="113" spans="1:22" x14ac:dyDescent="0.3">
      <c r="A113" s="21"/>
      <c r="C113" s="21"/>
      <c r="D113" s="21"/>
      <c r="E113" s="21"/>
      <c r="F113" s="21"/>
      <c r="G113" s="21"/>
      <c r="H113" s="21"/>
      <c r="J113" s="21"/>
      <c r="K113" s="21"/>
      <c r="L113" s="21"/>
      <c r="M113" s="21"/>
      <c r="N113" s="21"/>
      <c r="O113" s="21"/>
      <c r="Q113" s="21"/>
      <c r="R113" s="21"/>
      <c r="S113" s="21"/>
      <c r="T113" s="21"/>
      <c r="U113" s="21"/>
      <c r="V113" s="21"/>
    </row>
    <row r="114" spans="1:22" x14ac:dyDescent="0.3">
      <c r="A114" s="86"/>
      <c r="B114" s="86"/>
      <c r="C114" s="67"/>
      <c r="D114" s="67"/>
      <c r="E114" s="21"/>
      <c r="F114" s="21"/>
      <c r="G114" s="21"/>
      <c r="H114" s="21"/>
      <c r="J114" s="67"/>
      <c r="K114" s="67"/>
      <c r="L114" s="21"/>
      <c r="M114" s="21"/>
      <c r="N114" s="21"/>
      <c r="O114" s="21"/>
      <c r="Q114" s="67"/>
      <c r="R114" s="67"/>
      <c r="S114" s="21"/>
      <c r="T114" s="21"/>
      <c r="U114" s="21"/>
      <c r="V114" s="21"/>
    </row>
    <row r="115" spans="1:22" x14ac:dyDescent="0.3">
      <c r="A115" s="21"/>
      <c r="C115" s="21"/>
      <c r="D115" s="21"/>
      <c r="E115" s="21"/>
      <c r="F115" s="21"/>
      <c r="G115" s="21"/>
      <c r="H115" s="50"/>
      <c r="J115" s="21"/>
      <c r="K115" s="21"/>
      <c r="L115" s="21"/>
      <c r="M115" s="21"/>
      <c r="N115" s="21"/>
      <c r="O115" s="50"/>
      <c r="Q115" s="21"/>
      <c r="R115" s="21"/>
      <c r="S115" s="21"/>
      <c r="T115" s="21"/>
      <c r="U115" s="21"/>
      <c r="V115" s="50"/>
    </row>
    <row r="118" spans="1:22" x14ac:dyDescent="0.3">
      <c r="C118" s="20"/>
      <c r="D118" s="20"/>
      <c r="E118" s="20"/>
      <c r="F118" s="20"/>
      <c r="G118" s="20"/>
      <c r="H118" s="20"/>
    </row>
    <row r="119" spans="1:22" x14ac:dyDescent="0.3">
      <c r="C119" s="20"/>
      <c r="D119" s="20"/>
      <c r="E119" s="20"/>
      <c r="F119" s="20"/>
      <c r="G119" s="20"/>
      <c r="H119" s="20"/>
    </row>
    <row r="120" spans="1:22" x14ac:dyDescent="0.3">
      <c r="C120" s="20"/>
      <c r="D120" s="20"/>
      <c r="E120" s="20"/>
      <c r="F120" s="20"/>
      <c r="G120" s="20"/>
      <c r="H120" s="20"/>
    </row>
  </sheetData>
  <mergeCells count="14">
    <mergeCell ref="AH1:AL1"/>
    <mergeCell ref="Q59:V59"/>
    <mergeCell ref="Q88:V88"/>
    <mergeCell ref="C30:H30"/>
    <mergeCell ref="C59:H59"/>
    <mergeCell ref="C88:H88"/>
    <mergeCell ref="J2:O2"/>
    <mergeCell ref="Q2:V2"/>
    <mergeCell ref="X2:AC2"/>
    <mergeCell ref="C2:H2"/>
    <mergeCell ref="Q30:V30"/>
    <mergeCell ref="J30:O30"/>
    <mergeCell ref="J59:O59"/>
    <mergeCell ref="J88:O88"/>
  </mergeCells>
  <conditionalFormatting sqref="Q22:T22">
    <cfRule type="iconSet" priority="135">
      <iconSet iconSet="3Arrows">
        <cfvo type="percent" val="0"/>
        <cfvo type="num" val="0"/>
        <cfvo type="num" val="1"/>
      </iconSet>
    </cfRule>
  </conditionalFormatting>
  <conditionalFormatting sqref="Q24:T24">
    <cfRule type="iconSet" priority="136">
      <iconSet iconSet="3Arrows">
        <cfvo type="percent" val="0"/>
        <cfvo type="num" val="0"/>
        <cfvo type="num" val="1"/>
      </iconSet>
    </cfRule>
  </conditionalFormatting>
  <conditionalFormatting sqref="J24:M24">
    <cfRule type="iconSet" priority="141">
      <iconSet iconSet="3Arrows">
        <cfvo type="percent" val="0"/>
        <cfvo type="num" val="0"/>
        <cfvo type="num" val="1"/>
      </iconSet>
    </cfRule>
  </conditionalFormatting>
  <conditionalFormatting sqref="J22:M22">
    <cfRule type="iconSet" priority="142">
      <iconSet iconSet="3Arrows">
        <cfvo type="percent" val="0"/>
        <cfvo type="num" val="0"/>
        <cfvo type="num" val="1"/>
      </iconSet>
    </cfRule>
  </conditionalFormatting>
  <conditionalFormatting sqref="X22:AA22">
    <cfRule type="iconSet" priority="155">
      <iconSet iconSet="3Arrows">
        <cfvo type="percent" val="0"/>
        <cfvo type="num" val="0"/>
        <cfvo type="num" val="1"/>
      </iconSet>
    </cfRule>
  </conditionalFormatting>
  <conditionalFormatting sqref="X24:AA24">
    <cfRule type="iconSet" priority="157">
      <iconSet iconSet="3Arrows">
        <cfvo type="percent" val="0"/>
        <cfvo type="num" val="0"/>
        <cfvo type="num" val="1"/>
      </iconSet>
    </cfRule>
  </conditionalFormatting>
  <conditionalFormatting sqref="Q50:T50">
    <cfRule type="iconSet" priority="45">
      <iconSet iconSet="3Arrows">
        <cfvo type="percent" val="0"/>
        <cfvo type="num" val="0"/>
        <cfvo type="num" val="1"/>
      </iconSet>
    </cfRule>
  </conditionalFormatting>
  <conditionalFormatting sqref="Q52:T52">
    <cfRule type="iconSet" priority="46">
      <iconSet iconSet="3Arrows">
        <cfvo type="percent" val="0"/>
        <cfvo type="num" val="0"/>
        <cfvo type="num" val="1"/>
      </iconSet>
    </cfRule>
  </conditionalFormatting>
  <conditionalFormatting sqref="Q79:T79">
    <cfRule type="iconSet" priority="41">
      <iconSet iconSet="3Arrows">
        <cfvo type="percent" val="0"/>
        <cfvo type="num" val="0"/>
        <cfvo type="num" val="1"/>
      </iconSet>
    </cfRule>
  </conditionalFormatting>
  <conditionalFormatting sqref="Q81:T81">
    <cfRule type="iconSet" priority="42">
      <iconSet iconSet="3Arrows">
        <cfvo type="percent" val="0"/>
        <cfvo type="num" val="0"/>
        <cfvo type="num" val="1"/>
      </iconSet>
    </cfRule>
  </conditionalFormatting>
  <conditionalFormatting sqref="Q108:T108">
    <cfRule type="iconSet" priority="37">
      <iconSet iconSet="3Arrows">
        <cfvo type="percent" val="0"/>
        <cfvo type="num" val="0"/>
        <cfvo type="num" val="1"/>
      </iconSet>
    </cfRule>
  </conditionalFormatting>
  <conditionalFormatting sqref="Q110:T110">
    <cfRule type="iconSet" priority="38">
      <iconSet iconSet="3Arrows">
        <cfvo type="percent" val="0"/>
        <cfvo type="num" val="0"/>
        <cfvo type="num" val="1"/>
      </iconSet>
    </cfRule>
  </conditionalFormatting>
  <conditionalFormatting sqref="J52:M52">
    <cfRule type="iconSet" priority="19">
      <iconSet iconSet="3Arrows">
        <cfvo type="percent" val="0"/>
        <cfvo type="num" val="0"/>
        <cfvo type="num" val="1"/>
      </iconSet>
    </cfRule>
  </conditionalFormatting>
  <conditionalFormatting sqref="J50:M50">
    <cfRule type="iconSet" priority="20">
      <iconSet iconSet="3Arrows">
        <cfvo type="percent" val="0"/>
        <cfvo type="num" val="0"/>
        <cfvo type="num" val="1"/>
      </iconSet>
    </cfRule>
  </conditionalFormatting>
  <conditionalFormatting sqref="U21">
    <cfRule type="cellIs" dxfId="11" priority="9" operator="equal">
      <formula>FALSE</formula>
    </cfRule>
    <cfRule type="cellIs" dxfId="10" priority="10" operator="equal">
      <formula>TRUE</formula>
    </cfRule>
  </conditionalFormatting>
  <conditionalFormatting sqref="AB21">
    <cfRule type="cellIs" dxfId="9" priority="7" operator="equal">
      <formula>FALSE</formula>
    </cfRule>
    <cfRule type="cellIs" dxfId="8" priority="8" operator="equal">
      <formula>TRUE</formula>
    </cfRule>
  </conditionalFormatting>
  <conditionalFormatting sqref="U49">
    <cfRule type="cellIs" dxfId="7" priority="5" operator="equal">
      <formula>FALSE</formula>
    </cfRule>
    <cfRule type="cellIs" dxfId="6" priority="6" operator="equal">
      <formula>TRUE</formula>
    </cfRule>
  </conditionalFormatting>
  <conditionalFormatting sqref="U78">
    <cfRule type="cellIs" dxfId="5" priority="3" operator="equal">
      <formula>FALSE</formula>
    </cfRule>
    <cfRule type="cellIs" dxfId="4" priority="4" operator="equal">
      <formula>TRUE</formula>
    </cfRule>
  </conditionalFormatting>
  <conditionalFormatting sqref="U107">
    <cfRule type="cellIs" dxfId="3" priority="1" operator="equal">
      <formula>FALSE</formula>
    </cfRule>
    <cfRule type="cellIs" dxfId="2" priority="2" operator="equal">
      <formula>TRUE</formula>
    </cfRule>
  </conditionalFormatting>
  <dataValidations count="1">
    <dataValidation type="list" allowBlank="1" showInputMessage="1" showErrorMessage="1" sqref="AK5">
      <formula1>"Jan, Feb, Mar, Apr, May, June, July, Aug, Sep, Oct, Nov, Dec"</formula1>
    </dataValidation>
  </dataValidations>
  <pageMargins left="0.25" right="0.25" top="0.75" bottom="0.75" header="0.3" footer="0.3"/>
  <pageSetup paperSize="9" fitToHeight="0" orientation="landscape" r:id="rId1"/>
  <drawing r:id="rId2"/>
  <legacyDrawing r:id="rId3"/>
  <controls>
    <mc:AlternateContent xmlns:mc="http://schemas.openxmlformats.org/markup-compatibility/2006">
      <mc:Choice Requires="x14">
        <control shapeId="1061" r:id="rId4" name="UpdateDashboardBtn">
          <controlPr defaultSize="0" autoFill="0" autoLine="0" autoPict="0" r:id="rId5">
            <anchor moveWithCells="1">
              <from>
                <xdr:col>33</xdr:col>
                <xdr:colOff>1097280</xdr:colOff>
                <xdr:row>1</xdr:row>
                <xdr:rowOff>312420</xdr:rowOff>
              </from>
              <to>
                <xdr:col>36</xdr:col>
                <xdr:colOff>1135380</xdr:colOff>
                <xdr:row>3</xdr:row>
                <xdr:rowOff>45720</xdr:rowOff>
              </to>
            </anchor>
          </controlPr>
        </control>
      </mc:Choice>
      <mc:Fallback>
        <control shapeId="1061" r:id="rId4" name="UpdateDashboardBt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C000"/>
  </sheetPr>
  <dimension ref="A1:T46"/>
  <sheetViews>
    <sheetView tabSelected="1" workbookViewId="0">
      <selection activeCell="I26" sqref="I26"/>
    </sheetView>
  </sheetViews>
  <sheetFormatPr defaultRowHeight="14.4" x14ac:dyDescent="0.3"/>
  <cols>
    <col min="1" max="1" width="26.21875" customWidth="1"/>
    <col min="2" max="9" width="17.77734375" customWidth="1"/>
    <col min="10" max="10" width="10" bestFit="1" customWidth="1"/>
    <col min="11" max="21" width="12.44140625" customWidth="1"/>
  </cols>
  <sheetData>
    <row r="1" spans="1:20" ht="22.2" customHeight="1" thickBot="1" x14ac:dyDescent="0.45">
      <c r="A1" s="200" t="s">
        <v>87</v>
      </c>
      <c r="B1" s="201" t="s">
        <v>12</v>
      </c>
    </row>
    <row r="2" spans="1:20" ht="29.4" thickBot="1" x14ac:dyDescent="0.45">
      <c r="A2" s="145" t="s">
        <v>58</v>
      </c>
      <c r="B2" s="146" t="s">
        <v>93</v>
      </c>
      <c r="C2" s="146" t="s">
        <v>59</v>
      </c>
      <c r="D2" s="146" t="s">
        <v>91</v>
      </c>
      <c r="E2" s="146" t="s">
        <v>60</v>
      </c>
      <c r="F2" s="146" t="s">
        <v>61</v>
      </c>
      <c r="G2" s="147" t="s">
        <v>62</v>
      </c>
      <c r="H2" s="148" t="s">
        <v>63</v>
      </c>
      <c r="I2" s="148" t="s">
        <v>64</v>
      </c>
      <c r="J2" s="149"/>
      <c r="K2" s="149"/>
      <c r="L2" s="363" t="s">
        <v>86</v>
      </c>
      <c r="M2" s="363"/>
      <c r="N2" s="363"/>
      <c r="O2" s="363"/>
      <c r="P2" s="363"/>
      <c r="Q2" s="363"/>
      <c r="R2" s="363"/>
      <c r="S2" s="363"/>
      <c r="T2" s="363"/>
    </row>
    <row r="3" spans="1:20" x14ac:dyDescent="0.3">
      <c r="A3" s="152" t="s">
        <v>65</v>
      </c>
      <c r="B3" s="153">
        <f>VLOOKUP(B1,Dashboard!A4:H15,7,0)</f>
        <v>19588</v>
      </c>
      <c r="C3" s="154">
        <f>B3</f>
        <v>19588</v>
      </c>
      <c r="D3" s="154">
        <f>VLOOKUP(B1,Dashboard!A4:H15,6,0)</f>
        <v>15533</v>
      </c>
      <c r="E3" s="154">
        <f>+C3-D3</f>
        <v>4055</v>
      </c>
      <c r="F3" s="154"/>
      <c r="G3" s="154"/>
      <c r="H3" s="155"/>
      <c r="I3" s="181"/>
      <c r="J3" s="178"/>
      <c r="K3" s="179"/>
      <c r="L3" s="179" t="str">
        <f>A25</f>
        <v>Profit Forecast</v>
      </c>
      <c r="M3" s="179" t="str">
        <f t="shared" ref="M3:R3" si="0">B25</f>
        <v>Volume Variance</v>
      </c>
      <c r="N3" s="179" t="str">
        <f t="shared" si="0"/>
        <v>Material cost variances</v>
      </c>
      <c r="O3" s="179" t="str">
        <f t="shared" si="0"/>
        <v>Overhead variance</v>
      </c>
      <c r="P3" s="179" t="str">
        <f t="shared" si="0"/>
        <v>markup variance</v>
      </c>
      <c r="Q3" s="179" t="str">
        <f t="shared" si="0"/>
        <v>OPEX variance</v>
      </c>
      <c r="R3" s="179" t="str">
        <f t="shared" si="0"/>
        <v>Others</v>
      </c>
      <c r="S3" s="224" t="str">
        <f>H25</f>
        <v>EBIT</v>
      </c>
    </row>
    <row r="4" spans="1:20" x14ac:dyDescent="0.3">
      <c r="A4" s="186" t="s">
        <v>74</v>
      </c>
      <c r="B4" s="187">
        <f>VLOOKUP(B1,Dashboard!A4:H15,4,0)</f>
        <v>15435</v>
      </c>
      <c r="C4" s="188">
        <f>B4</f>
        <v>15435</v>
      </c>
      <c r="D4" s="188">
        <f>VLOOKUP(B1,Dashboard!A4:H15,3,0)</f>
        <v>13994</v>
      </c>
      <c r="E4" s="188">
        <f>+C4-D4</f>
        <v>1441</v>
      </c>
      <c r="F4" s="188"/>
      <c r="G4" s="188"/>
      <c r="H4" s="189"/>
      <c r="I4" s="188"/>
      <c r="J4" s="179"/>
      <c r="K4" s="180"/>
      <c r="L4" s="180"/>
      <c r="M4" s="180"/>
      <c r="N4" s="180"/>
      <c r="O4" s="180"/>
      <c r="P4" s="180"/>
      <c r="Q4" s="180"/>
      <c r="R4" s="180"/>
      <c r="S4" s="180"/>
    </row>
    <row r="5" spans="1:20" x14ac:dyDescent="0.3">
      <c r="A5" s="162" t="s">
        <v>75</v>
      </c>
      <c r="B5" s="163">
        <f>B6+B7+B8+B9</f>
        <v>915491250.65996647</v>
      </c>
      <c r="C5" s="164">
        <f>SUM(C6:C9)</f>
        <v>892871337.66000009</v>
      </c>
      <c r="D5" s="342">
        <f>SUM(D6:D9)</f>
        <v>719479935.72000003</v>
      </c>
      <c r="E5" s="164">
        <f>+C5-D5</f>
        <v>173391401.94000006</v>
      </c>
      <c r="F5" s="164">
        <f t="shared" ref="F5:F20" si="1">+B5-C5</f>
        <v>22619912.999966383</v>
      </c>
      <c r="G5" s="164"/>
      <c r="H5" s="165"/>
      <c r="I5" s="165"/>
      <c r="J5" s="149"/>
      <c r="K5" s="149"/>
      <c r="L5" s="223">
        <f>A26</f>
        <v>10.842918215525806</v>
      </c>
      <c r="M5" s="223">
        <f t="shared" ref="M5:R5" si="2">B26</f>
        <v>10.086611</v>
      </c>
      <c r="N5" s="223">
        <f t="shared" si="2"/>
        <v>3.0131831899522918</v>
      </c>
      <c r="O5" s="223">
        <f t="shared" si="2"/>
        <v>7.6745380002379418E-2</v>
      </c>
      <c r="P5" s="223">
        <f t="shared" si="2"/>
        <v>0.58575432000000405</v>
      </c>
      <c r="Q5" s="223">
        <f t="shared" si="2"/>
        <v>-38.579488845525802</v>
      </c>
      <c r="R5" s="223">
        <f t="shared" si="2"/>
        <v>0.95090487000000001</v>
      </c>
      <c r="S5" s="223">
        <f>SUM(L5:R5)</f>
        <v>-13.023371870045322</v>
      </c>
    </row>
    <row r="6" spans="1:20" x14ac:dyDescent="0.3">
      <c r="A6" s="166" t="s">
        <v>76</v>
      </c>
      <c r="B6" s="167">
        <f>VLOOKUP(B1,Dashboard!A4:V15,21,0)</f>
        <v>808536309.18996644</v>
      </c>
      <c r="C6" s="168">
        <f>(VLOOKUP(B1,Dashboard!A32:H43,7,0)*B32)+(VLOOKUP(B1,Dashboard!A61:H72,7,0)*B34)+(VLOOKUP(B1,Dashboard!A90:H101,7,0)*B33)</f>
        <v>786502281.66000009</v>
      </c>
      <c r="D6" s="343">
        <f>(VLOOKUP(B1,Dashboard!A32:H43,6,0)*B32)+(VLOOKUP(B1,Dashboard!A61:H72,6,0)*B34)+(VLOOKUP(B1,Dashboard!A90:H101,6,0)*B33)</f>
        <v>635253258.72000003</v>
      </c>
      <c r="E6" s="168">
        <f t="shared" ref="E6:E21" si="3">+C6-D6</f>
        <v>151249022.94000006</v>
      </c>
      <c r="F6" s="168">
        <f>+B6-C6</f>
        <v>22034027.529966354</v>
      </c>
      <c r="G6" s="169">
        <f>+B6/B3</f>
        <v>41277.124218397308</v>
      </c>
      <c r="H6" s="170">
        <f>+C6/C3</f>
        <v>40152.250442107419</v>
      </c>
      <c r="I6" s="170">
        <f>+E43</f>
        <v>0</v>
      </c>
      <c r="J6" s="149"/>
      <c r="K6" s="149"/>
      <c r="L6" s="199"/>
      <c r="M6" s="150"/>
      <c r="N6" s="150"/>
      <c r="O6" s="151"/>
      <c r="P6" s="151"/>
      <c r="Q6" s="151"/>
    </row>
    <row r="7" spans="1:20" x14ac:dyDescent="0.3">
      <c r="A7" s="202" t="s">
        <v>77</v>
      </c>
      <c r="B7" s="167">
        <f>VLOOKUP(B1,Dashboard!A4:O15,14,0)</f>
        <v>92044012</v>
      </c>
      <c r="C7" s="168">
        <f>(VLOOKUP(B1,Dashboard!A32:H43,7,0)*B29)+(VLOOKUP(B1,Dashboard!A61:H72,7,0)*B29)+(VLOOKUP(B1,Dashboard!A90:H101,7,0)*B29)</f>
        <v>92044012</v>
      </c>
      <c r="D7" s="343">
        <f>(VLOOKUP(B1,Dashboard!A32:H43,6,0)*B29)+(VLOOKUP(B1,Dashboard!A61:H72,6,0)*B29)+(VLOOKUP(B1,Dashboard!A90:H101,6,0)*B29)</f>
        <v>72989567</v>
      </c>
      <c r="E7" s="168">
        <f t="shared" si="3"/>
        <v>19054445</v>
      </c>
      <c r="F7" s="168">
        <f t="shared" si="1"/>
        <v>0</v>
      </c>
      <c r="G7" s="169">
        <f>+B7/B3</f>
        <v>4699</v>
      </c>
      <c r="H7" s="171">
        <f>+C7/C3</f>
        <v>4699</v>
      </c>
      <c r="I7" s="171">
        <f>+E44</f>
        <v>0</v>
      </c>
      <c r="J7" s="149"/>
      <c r="K7" s="149"/>
      <c r="L7" s="199"/>
      <c r="M7" s="150"/>
      <c r="N7" s="150"/>
      <c r="O7" s="151"/>
      <c r="P7" s="151"/>
      <c r="Q7" s="151"/>
    </row>
    <row r="8" spans="1:20" x14ac:dyDescent="0.3">
      <c r="A8" s="202" t="s">
        <v>78</v>
      </c>
      <c r="B8" s="167">
        <f>VLOOKUP(B1,Dashboard!A4:Y15,25,0)</f>
        <v>14910798.320000004</v>
      </c>
      <c r="C8" s="343">
        <f>((VLOOKUP(B1,Dashboard!A61:H72,7,0)*B41)+(VLOOKUP(B1,Dashboard!A32:H44,7,0)*B42)+(VLOOKUP(B1,Dashboard!A90:H101,7,0)*B43))</f>
        <v>14325044</v>
      </c>
      <c r="D8" s="343">
        <f>((VLOOKUP(B1,Dashboard!A61:H72,6,0)*B41)+(VLOOKUP(B1,Dashboard!A32:H44,6,0)*B42)+(VLOOKUP(B1,Dashboard!A90:H101,6,0)*B43))</f>
        <v>11237110</v>
      </c>
      <c r="E8" s="168">
        <f t="shared" si="3"/>
        <v>3087934</v>
      </c>
      <c r="F8" s="168">
        <f t="shared" si="1"/>
        <v>585754.32000000402</v>
      </c>
      <c r="G8" s="169">
        <f>+B8/B3</f>
        <v>761.22107004288364</v>
      </c>
      <c r="H8" s="170">
        <f>+C8/C3</f>
        <v>731.31733714519089</v>
      </c>
      <c r="I8" s="171">
        <f>+E45</f>
        <v>0</v>
      </c>
      <c r="J8" s="149"/>
      <c r="K8" s="149"/>
      <c r="L8" s="199"/>
      <c r="M8" s="150"/>
      <c r="N8" s="150"/>
      <c r="O8" s="151"/>
      <c r="P8" s="151"/>
      <c r="Q8" s="151"/>
    </row>
    <row r="9" spans="1:20" x14ac:dyDescent="0.3">
      <c r="A9" s="190" t="s">
        <v>79</v>
      </c>
      <c r="B9" s="191">
        <f>VLOOKUP(B1,$D$30:$E$41,2,0)</f>
        <v>131.15000000000509</v>
      </c>
      <c r="C9" s="192">
        <v>0</v>
      </c>
      <c r="D9" s="344">
        <v>0</v>
      </c>
      <c r="E9" s="192">
        <f t="shared" si="3"/>
        <v>0</v>
      </c>
      <c r="F9" s="192">
        <f t="shared" si="1"/>
        <v>131.15000000000509</v>
      </c>
      <c r="G9" s="193">
        <f>+B9/B4</f>
        <v>8.4969225785555616E-3</v>
      </c>
      <c r="H9" s="194">
        <f>+C9/C4</f>
        <v>0</v>
      </c>
      <c r="I9" s="194">
        <f>+E46</f>
        <v>0</v>
      </c>
      <c r="J9" s="149"/>
      <c r="K9" s="149"/>
      <c r="L9" s="199"/>
      <c r="M9" s="150"/>
      <c r="N9" s="150"/>
      <c r="O9" s="151"/>
      <c r="P9" s="151"/>
      <c r="Q9" s="151"/>
    </row>
    <row r="10" spans="1:20" x14ac:dyDescent="0.3">
      <c r="A10" s="195" t="s">
        <v>46</v>
      </c>
      <c r="B10" s="196">
        <v>-655565227.64999998</v>
      </c>
      <c r="C10" s="196">
        <f>-C15</f>
        <v>-629839968.77999997</v>
      </c>
      <c r="D10" s="345">
        <f>-D15</f>
        <v>-576323490.33000004</v>
      </c>
      <c r="E10" s="196">
        <f t="shared" si="3"/>
        <v>-53516478.449999928</v>
      </c>
      <c r="F10" s="196">
        <f t="shared" si="1"/>
        <v>-25725258.870000005</v>
      </c>
      <c r="G10" s="196"/>
      <c r="H10" s="197"/>
      <c r="I10" s="197"/>
      <c r="J10" s="149"/>
      <c r="K10" s="149"/>
      <c r="L10" s="199"/>
      <c r="M10" s="150"/>
      <c r="N10" s="150"/>
      <c r="O10" s="151"/>
      <c r="P10" s="151"/>
      <c r="Q10" s="151"/>
    </row>
    <row r="11" spans="1:20" x14ac:dyDescent="0.3">
      <c r="A11" s="195" t="s">
        <v>80</v>
      </c>
      <c r="B11" s="198">
        <v>-104865379.63</v>
      </c>
      <c r="C11" s="196">
        <f>D11</f>
        <v>-66285890.784474194</v>
      </c>
      <c r="D11" s="345">
        <v>-66285890.784474194</v>
      </c>
      <c r="E11" s="196">
        <f t="shared" si="3"/>
        <v>0</v>
      </c>
      <c r="F11" s="196">
        <f t="shared" si="1"/>
        <v>-38579488.845525801</v>
      </c>
      <c r="G11" s="196"/>
      <c r="H11" s="197"/>
      <c r="I11" s="197"/>
      <c r="J11" s="149"/>
      <c r="K11" s="149"/>
      <c r="L11" s="199"/>
      <c r="M11" s="150"/>
      <c r="N11" s="150"/>
      <c r="O11" s="151"/>
      <c r="P11" s="151"/>
      <c r="Q11" s="151"/>
    </row>
    <row r="12" spans="1:20" x14ac:dyDescent="0.3">
      <c r="A12" s="195" t="s">
        <v>99</v>
      </c>
      <c r="B12" s="198">
        <v>4503825.1399999997</v>
      </c>
      <c r="C12" s="196"/>
      <c r="D12" s="345"/>
      <c r="E12" s="196">
        <f t="shared" si="3"/>
        <v>0</v>
      </c>
      <c r="F12" s="196">
        <f t="shared" si="1"/>
        <v>4503825.1399999997</v>
      </c>
      <c r="G12" s="196"/>
      <c r="H12" s="197"/>
      <c r="I12" s="197"/>
      <c r="J12" s="149"/>
      <c r="K12" s="149"/>
      <c r="L12" s="199"/>
      <c r="M12" s="150"/>
      <c r="N12" s="150"/>
      <c r="O12" s="151"/>
      <c r="P12" s="151"/>
      <c r="Q12" s="151"/>
    </row>
    <row r="13" spans="1:20" x14ac:dyDescent="0.3">
      <c r="A13" s="162" t="s">
        <v>81</v>
      </c>
      <c r="B13" s="163">
        <f>SUM(B14,B17)</f>
        <v>-173538745.25999999</v>
      </c>
      <c r="C13" s="164">
        <f>SUM(C14,C17)</f>
        <v>-175815948.88000011</v>
      </c>
      <c r="D13" s="342">
        <f>SUM(D14,D17)</f>
        <v>-66027636.389999986</v>
      </c>
      <c r="E13" s="164">
        <f t="shared" si="3"/>
        <v>-109788312.49000013</v>
      </c>
      <c r="F13" s="164">
        <f t="shared" si="1"/>
        <v>2277203.620000124</v>
      </c>
      <c r="G13" s="164"/>
      <c r="H13" s="165"/>
      <c r="I13" s="165"/>
      <c r="J13" s="149"/>
      <c r="K13" s="149"/>
      <c r="L13" s="199"/>
      <c r="M13" s="150"/>
      <c r="N13" s="150"/>
      <c r="O13" s="151"/>
      <c r="P13" s="151"/>
      <c r="Q13" s="151"/>
    </row>
    <row r="14" spans="1:20" x14ac:dyDescent="0.3">
      <c r="A14" s="166" t="s">
        <v>82</v>
      </c>
      <c r="B14" s="167">
        <v>724938209.24000001</v>
      </c>
      <c r="C14" s="168">
        <f>C15+C16</f>
        <v>701026188.77999997</v>
      </c>
      <c r="D14" s="346">
        <f>D15+D16</f>
        <v>640863818.33000004</v>
      </c>
      <c r="E14" s="168">
        <f t="shared" si="3"/>
        <v>60162370.449999928</v>
      </c>
      <c r="F14" s="168">
        <f t="shared" si="1"/>
        <v>23912020.460000038</v>
      </c>
      <c r="G14" s="154"/>
      <c r="H14" s="155"/>
      <c r="I14" s="155"/>
      <c r="J14" s="149"/>
      <c r="K14" s="149"/>
      <c r="L14" s="150"/>
      <c r="M14" s="150"/>
      <c r="N14" s="150"/>
      <c r="O14" s="151"/>
      <c r="P14" s="151"/>
      <c r="Q14" s="151"/>
    </row>
    <row r="15" spans="1:20" x14ac:dyDescent="0.3">
      <c r="A15" s="173" t="s">
        <v>83</v>
      </c>
      <c r="B15" s="174">
        <f>VLOOKUP(B1,Dashboard!A4:R15,18,0)</f>
        <v>654683617.89999819</v>
      </c>
      <c r="C15" s="172">
        <f>(VLOOKUP(B1,Dashboard!A32:H43,4,0)*B37)+(VLOOKUP(B1,Dashboard!A61:H72,4,0)*B39)+(VLOOKUP(B1,Dashboard!A90:H101,4,0)*B38)</f>
        <v>629839968.77999997</v>
      </c>
      <c r="D15" s="347">
        <f>(VLOOKUP(B1,Dashboard!A32:H43,3,0)*B37)+(VLOOKUP(B1,Dashboard!A61:H72,3,0)*B39)+(VLOOKUP(B1,Dashboard!A90:H101,3,0)*B38)</f>
        <v>576323490.33000004</v>
      </c>
      <c r="E15" s="172">
        <f t="shared" si="3"/>
        <v>53516478.449999928</v>
      </c>
      <c r="F15" s="172">
        <f>+B15-C15</f>
        <v>24843649.119998217</v>
      </c>
      <c r="G15" s="172">
        <f>+B15/B4</f>
        <v>42415.524321347468</v>
      </c>
      <c r="H15" s="171">
        <f>+C15/C4</f>
        <v>40805.958456754131</v>
      </c>
      <c r="I15" s="170">
        <f>+E51</f>
        <v>0</v>
      </c>
      <c r="J15" s="149"/>
      <c r="K15" s="149"/>
      <c r="L15" s="150"/>
      <c r="M15" s="150"/>
      <c r="N15" s="150"/>
      <c r="O15" s="151"/>
      <c r="P15" s="151"/>
      <c r="Q15" s="151"/>
    </row>
    <row r="16" spans="1:20" x14ac:dyDescent="0.3">
      <c r="A16" s="173" t="s">
        <v>84</v>
      </c>
      <c r="B16" s="174">
        <f>VLOOKUP(B1,Dashboard!A4:K15,11,0)</f>
        <v>70254591.340000644</v>
      </c>
      <c r="C16" s="172">
        <f>(VLOOKUP(B1,Dashboard!A32:H43,4,0)*B30)+(VLOOKUP(B1,Dashboard!A61:H72,4,0)*B30)+(VLOOKUP(B1,Dashboard!A90:H101,4,0)*B30)</f>
        <v>71186220</v>
      </c>
      <c r="D16" s="347">
        <f>(VLOOKUP(B1,Dashboard!A32:H43,3,0)*B30)+(VLOOKUP(B1,Dashboard!A61:H72,3,0)*B30)+(VLOOKUP(B1,Dashboard!A90:H101,3,0)*B30)</f>
        <v>64540328</v>
      </c>
      <c r="E16" s="172">
        <f t="shared" si="3"/>
        <v>6645892</v>
      </c>
      <c r="F16" s="172">
        <f t="shared" si="1"/>
        <v>-931628.65999935567</v>
      </c>
      <c r="G16" s="172">
        <f>+B16/B4</f>
        <v>4551.641810171729</v>
      </c>
      <c r="H16" s="171">
        <f>+C16/C4</f>
        <v>4612</v>
      </c>
      <c r="I16" s="171">
        <f>+E52</f>
        <v>0</v>
      </c>
      <c r="J16" s="149"/>
      <c r="K16" s="149"/>
      <c r="L16" s="150"/>
      <c r="M16" s="150"/>
      <c r="N16" s="150"/>
      <c r="O16" s="151"/>
      <c r="P16" s="151"/>
      <c r="Q16" s="151"/>
    </row>
    <row r="17" spans="1:17" x14ac:dyDescent="0.3">
      <c r="A17" s="166" t="s">
        <v>85</v>
      </c>
      <c r="B17" s="167">
        <v>-898476954.5</v>
      </c>
      <c r="C17" s="168">
        <f>C18+C19</f>
        <v>-876842137.66000009</v>
      </c>
      <c r="D17" s="343">
        <f>D18+D19</f>
        <v>-706891454.72000003</v>
      </c>
      <c r="E17" s="168">
        <f t="shared" si="3"/>
        <v>-169950682.94000006</v>
      </c>
      <c r="F17" s="168">
        <f t="shared" si="1"/>
        <v>-21634816.839999914</v>
      </c>
      <c r="G17" s="172"/>
      <c r="H17" s="171"/>
      <c r="I17" s="171"/>
      <c r="J17" s="149"/>
      <c r="K17" s="149"/>
      <c r="L17" s="150"/>
      <c r="M17" s="150"/>
      <c r="N17" s="150"/>
      <c r="O17" s="151"/>
      <c r="P17" s="151"/>
      <c r="Q17" s="151"/>
    </row>
    <row r="18" spans="1:17" x14ac:dyDescent="0.3">
      <c r="A18" s="173" t="s">
        <v>83</v>
      </c>
      <c r="B18" s="174">
        <v>-809145472.54001236</v>
      </c>
      <c r="C18" s="172">
        <f>-(VLOOKUP(B1,Dashboard!A32:H43,7,0)*B37)-(VLOOKUP(B1,Dashboard!A61:H72,7,0)*B39)-(VLOOKUP(B1,Dashboard!A90:H101,7,0)*B38)</f>
        <v>-786502281.66000009</v>
      </c>
      <c r="D18" s="347">
        <f>-(VLOOKUP(B1,Dashboard!A32:H43,6,0)*B37)-(VLOOKUP(B1,Dashboard!A61:H72,6,0)*B39)-(VLOOKUP(B1,Dashboard!A90:H101,6,0)*B38)</f>
        <v>-635253258.72000003</v>
      </c>
      <c r="E18" s="172">
        <f t="shared" si="3"/>
        <v>-151249022.94000006</v>
      </c>
      <c r="F18" s="172">
        <f t="shared" si="1"/>
        <v>-22643190.880012274</v>
      </c>
      <c r="G18" s="172">
        <f>+B18/B3</f>
        <v>-41308.223021238126</v>
      </c>
      <c r="H18" s="171">
        <f>+C18/C3</f>
        <v>-40152.250442107419</v>
      </c>
      <c r="I18" s="171">
        <f>+E54</f>
        <v>0</v>
      </c>
      <c r="J18" s="149"/>
      <c r="K18" s="149"/>
      <c r="L18" s="150"/>
      <c r="M18" s="150"/>
      <c r="N18" s="150"/>
      <c r="O18" s="151"/>
      <c r="P18" s="151"/>
      <c r="Q18" s="151"/>
    </row>
    <row r="19" spans="1:17" x14ac:dyDescent="0.3">
      <c r="A19" s="173" t="s">
        <v>84</v>
      </c>
      <c r="B19" s="174">
        <v>-89331481.959998265</v>
      </c>
      <c r="C19" s="172">
        <f>-C3*B30</f>
        <v>-90339856</v>
      </c>
      <c r="D19" s="347">
        <f>-B30*D3</f>
        <v>-71638196</v>
      </c>
      <c r="E19" s="172">
        <f t="shared" si="3"/>
        <v>-18701660</v>
      </c>
      <c r="F19" s="172">
        <f>+B19-C19</f>
        <v>1008374.0400017351</v>
      </c>
      <c r="G19" s="172">
        <f>+B19/B3</f>
        <v>-4560.520827036873</v>
      </c>
      <c r="H19" s="171">
        <f>+C19/C3</f>
        <v>-4612</v>
      </c>
      <c r="I19" s="171">
        <f>+E55</f>
        <v>0</v>
      </c>
      <c r="J19" s="149"/>
      <c r="K19" s="149"/>
      <c r="L19" s="150"/>
      <c r="M19" s="150"/>
      <c r="N19" s="150"/>
      <c r="O19" s="151"/>
      <c r="P19" s="151"/>
      <c r="Q19" s="151"/>
    </row>
    <row r="20" spans="1:17" ht="15" thickBot="1" x14ac:dyDescent="0.35">
      <c r="A20" s="182" t="s">
        <v>72</v>
      </c>
      <c r="B20" s="183">
        <v>950904.87</v>
      </c>
      <c r="C20" s="184"/>
      <c r="D20" s="348"/>
      <c r="E20" s="184">
        <f t="shared" si="3"/>
        <v>0</v>
      </c>
      <c r="F20" s="184">
        <f t="shared" si="1"/>
        <v>950904.87</v>
      </c>
      <c r="G20" s="184"/>
      <c r="H20" s="185"/>
      <c r="I20" s="185"/>
      <c r="J20" s="149"/>
      <c r="K20" s="149"/>
      <c r="L20" s="150"/>
      <c r="M20" s="150"/>
      <c r="N20" s="150"/>
      <c r="O20" s="151"/>
      <c r="P20" s="151"/>
      <c r="Q20" s="151"/>
    </row>
    <row r="21" spans="1:17" ht="15.6" thickTop="1" thickBot="1" x14ac:dyDescent="0.35">
      <c r="A21" s="175" t="s">
        <v>73</v>
      </c>
      <c r="B21" s="176">
        <f>B5+B10+B11+B13+B20+B12</f>
        <v>-13023371.870033491</v>
      </c>
      <c r="C21" s="176">
        <f>+SUM(C5,C10,C11,C13,C20)</f>
        <v>20929529.215525806</v>
      </c>
      <c r="D21" s="176">
        <f>+SUM(D5,D10,D11,D13,D20)</f>
        <v>10842918.215525806</v>
      </c>
      <c r="E21" s="176">
        <f t="shared" si="3"/>
        <v>10086611</v>
      </c>
      <c r="F21" s="176">
        <f>+SUM(F5,F10,F11,F13,F20)</f>
        <v>-38456726.225559302</v>
      </c>
      <c r="G21" s="176"/>
      <c r="H21" s="177"/>
      <c r="I21" s="177"/>
      <c r="J21" s="149"/>
      <c r="K21" s="149"/>
      <c r="L21" s="150"/>
      <c r="M21" s="150"/>
      <c r="N21" s="150"/>
      <c r="O21" s="151"/>
      <c r="P21" s="151"/>
      <c r="Q21" s="151"/>
    </row>
    <row r="22" spans="1:17" x14ac:dyDescent="0.3">
      <c r="D22" s="349"/>
    </row>
    <row r="23" spans="1:17" x14ac:dyDescent="0.3">
      <c r="D23" s="22"/>
      <c r="E23" s="339"/>
    </row>
    <row r="24" spans="1:17" ht="15" thickBot="1" x14ac:dyDescent="0.35"/>
    <row r="25" spans="1:17" x14ac:dyDescent="0.3">
      <c r="A25" s="156" t="s">
        <v>66</v>
      </c>
      <c r="B25" s="157" t="s">
        <v>67</v>
      </c>
      <c r="C25" s="157" t="s">
        <v>68</v>
      </c>
      <c r="D25" s="157" t="s">
        <v>69</v>
      </c>
      <c r="E25" s="157" t="s">
        <v>70</v>
      </c>
      <c r="F25" s="157" t="s">
        <v>71</v>
      </c>
      <c r="G25" s="157" t="s">
        <v>72</v>
      </c>
      <c r="H25" s="158" t="s">
        <v>73</v>
      </c>
    </row>
    <row r="26" spans="1:17" ht="15" thickBot="1" x14ac:dyDescent="0.35">
      <c r="A26" s="159">
        <f>D21/1000000</f>
        <v>10.842918215525806</v>
      </c>
      <c r="B26" s="160">
        <f>E21/1000000</f>
        <v>10.086611</v>
      </c>
      <c r="C26" s="160">
        <f>(F6+F10+F15+F18+F9+F12)/1000000</f>
        <v>3.0131831899522918</v>
      </c>
      <c r="D26" s="160">
        <f>+(F7+F16+F19)/1000000</f>
        <v>7.6745380002379418E-2</v>
      </c>
      <c r="E26" s="160">
        <f>F8/1000000</f>
        <v>0.58575432000000405</v>
      </c>
      <c r="F26" s="160">
        <f>F11/1000000</f>
        <v>-38.579488845525802</v>
      </c>
      <c r="G26" s="160">
        <f>F20/1000000</f>
        <v>0.95090487000000001</v>
      </c>
      <c r="H26" s="161">
        <f>SUM(A26:G26)</f>
        <v>-13.023371870045322</v>
      </c>
    </row>
    <row r="28" spans="1:17" ht="15" thickBot="1" x14ac:dyDescent="0.35">
      <c r="A28" s="365" t="s">
        <v>98</v>
      </c>
      <c r="B28" s="365"/>
      <c r="C28" s="340"/>
    </row>
    <row r="29" spans="1:17" x14ac:dyDescent="0.3">
      <c r="A29" s="205" t="s">
        <v>88</v>
      </c>
      <c r="B29" s="206">
        <f>Dashboard!N26</f>
        <v>4699</v>
      </c>
      <c r="C29" s="341"/>
      <c r="D29" s="364" t="s">
        <v>96</v>
      </c>
      <c r="E29" s="364"/>
      <c r="F29" s="203"/>
      <c r="G29" s="203"/>
      <c r="H29" s="204"/>
    </row>
    <row r="30" spans="1:17" x14ac:dyDescent="0.3">
      <c r="A30" s="207" t="s">
        <v>94</v>
      </c>
      <c r="B30" s="208">
        <f>Dashboard!N28</f>
        <v>4612</v>
      </c>
      <c r="C30" s="341"/>
      <c r="D30" s="32" t="s">
        <v>6</v>
      </c>
      <c r="E30" s="210">
        <v>-2940.5199999993642</v>
      </c>
      <c r="F30" s="203"/>
      <c r="G30" s="203"/>
      <c r="H30" s="204"/>
    </row>
    <row r="31" spans="1:17" x14ac:dyDescent="0.3">
      <c r="A31" s="207" t="s">
        <v>89</v>
      </c>
      <c r="B31" s="208"/>
      <c r="C31" s="341"/>
      <c r="D31" s="87" t="s">
        <v>7</v>
      </c>
      <c r="E31" s="211">
        <v>139.73000000000528</v>
      </c>
      <c r="F31" s="203"/>
      <c r="G31" s="203"/>
      <c r="H31" s="204"/>
    </row>
    <row r="32" spans="1:17" x14ac:dyDescent="0.3">
      <c r="A32" s="209" t="s">
        <v>33</v>
      </c>
      <c r="B32" s="208">
        <v>36924.660000000003</v>
      </c>
      <c r="C32" s="341"/>
      <c r="D32" s="88" t="s">
        <v>8</v>
      </c>
      <c r="E32" s="212">
        <v>140.06000000000569</v>
      </c>
      <c r="F32" s="203"/>
      <c r="G32" s="203"/>
      <c r="H32" s="204"/>
    </row>
    <row r="33" spans="1:8" x14ac:dyDescent="0.3">
      <c r="A33" s="209" t="s">
        <v>90</v>
      </c>
      <c r="B33" s="208">
        <v>47623.23</v>
      </c>
      <c r="C33" s="341"/>
      <c r="D33" s="89" t="s">
        <v>9</v>
      </c>
      <c r="E33" s="213">
        <v>139.68000000000708</v>
      </c>
      <c r="F33" s="203"/>
      <c r="G33" s="203"/>
      <c r="H33" s="204"/>
    </row>
    <row r="34" spans="1:8" x14ac:dyDescent="0.3">
      <c r="A34" s="209" t="s">
        <v>34</v>
      </c>
      <c r="B34" s="208">
        <v>42438.9</v>
      </c>
      <c r="C34" s="341"/>
      <c r="D34" s="94" t="s">
        <v>10</v>
      </c>
      <c r="E34" s="214">
        <v>144.69000000001316</v>
      </c>
      <c r="F34" s="203"/>
      <c r="G34" s="203"/>
      <c r="H34" s="204"/>
    </row>
    <row r="35" spans="1:8" x14ac:dyDescent="0.3">
      <c r="A35" s="207" t="s">
        <v>186</v>
      </c>
      <c r="B35" s="208">
        <v>705.66666666666663</v>
      </c>
      <c r="C35" s="341" t="s">
        <v>187</v>
      </c>
      <c r="D35" s="90" t="s">
        <v>11</v>
      </c>
      <c r="E35" s="215">
        <v>130.75000000000776</v>
      </c>
      <c r="F35" s="203"/>
      <c r="G35" s="203"/>
      <c r="H35" s="204"/>
    </row>
    <row r="36" spans="1:8" x14ac:dyDescent="0.3">
      <c r="A36" s="207" t="s">
        <v>95</v>
      </c>
      <c r="B36" s="208"/>
      <c r="C36" s="341"/>
      <c r="D36" s="91" t="s">
        <v>12</v>
      </c>
      <c r="E36" s="216">
        <v>131.15000000000509</v>
      </c>
      <c r="F36" s="203"/>
      <c r="G36" s="203"/>
      <c r="H36" s="204"/>
    </row>
    <row r="37" spans="1:8" x14ac:dyDescent="0.3">
      <c r="A37" s="209" t="s">
        <v>33</v>
      </c>
      <c r="B37" s="208">
        <v>36924.660000000003</v>
      </c>
      <c r="C37" s="341"/>
      <c r="D37" s="92" t="s">
        <v>23</v>
      </c>
      <c r="E37" s="217"/>
      <c r="F37" s="203"/>
      <c r="G37" s="203"/>
      <c r="H37" s="204"/>
    </row>
    <row r="38" spans="1:8" x14ac:dyDescent="0.3">
      <c r="A38" s="209" t="s">
        <v>90</v>
      </c>
      <c r="B38" s="208">
        <v>47623.23</v>
      </c>
      <c r="C38" s="340"/>
      <c r="D38" s="93" t="s">
        <v>24</v>
      </c>
      <c r="E38" s="218"/>
    </row>
    <row r="39" spans="1:8" x14ac:dyDescent="0.3">
      <c r="A39" s="350" t="s">
        <v>34</v>
      </c>
      <c r="B39" s="351">
        <v>42438.9</v>
      </c>
      <c r="D39" s="96" t="s">
        <v>25</v>
      </c>
      <c r="E39" s="219"/>
    </row>
    <row r="40" spans="1:8" x14ac:dyDescent="0.3">
      <c r="A40" s="352" t="s">
        <v>92</v>
      </c>
      <c r="B40" s="351"/>
      <c r="D40" s="95" t="s">
        <v>26</v>
      </c>
      <c r="E40" s="220"/>
    </row>
    <row r="41" spans="1:8" x14ac:dyDescent="0.3">
      <c r="A41" s="350" t="s">
        <v>34</v>
      </c>
      <c r="B41" s="351">
        <v>680</v>
      </c>
      <c r="D41" s="97" t="s">
        <v>27</v>
      </c>
      <c r="E41" s="221"/>
    </row>
    <row r="42" spans="1:8" x14ac:dyDescent="0.3">
      <c r="A42" s="350" t="s">
        <v>33</v>
      </c>
      <c r="B42" s="351">
        <v>767</v>
      </c>
    </row>
    <row r="43" spans="1:8" x14ac:dyDescent="0.3">
      <c r="A43" s="350" t="s">
        <v>90</v>
      </c>
      <c r="B43" s="351">
        <v>670</v>
      </c>
    </row>
    <row r="44" spans="1:8" x14ac:dyDescent="0.3">
      <c r="A44" s="350"/>
      <c r="B44" s="351"/>
    </row>
    <row r="45" spans="1:8" x14ac:dyDescent="0.3">
      <c r="B45" s="22"/>
    </row>
    <row r="46" spans="1:8" x14ac:dyDescent="0.3">
      <c r="B46" s="22"/>
    </row>
  </sheetData>
  <mergeCells count="3">
    <mergeCell ref="L2:T2"/>
    <mergeCell ref="D29:E29"/>
    <mergeCell ref="A28:B28"/>
  </mergeCells>
  <conditionalFormatting sqref="H26">
    <cfRule type="expression" dxfId="1" priority="1">
      <formula>"If($B$20&lt;&gt;$H$25*1000000,True,False)"</formula>
    </cfRule>
    <cfRule type="expression" dxfId="0" priority="2">
      <formula>IF($H$26=$B$21*1000000,TRUE,FALSE)</formula>
    </cfRule>
  </conditionalFormatting>
  <dataValidations count="1">
    <dataValidation type="list" allowBlank="1" showInputMessage="1" showErrorMessage="1" sqref="B1">
      <formula1>"Jan, Feb, Mar, Apr, May, June, July, Aug, Sep, Oct, Nov, Dec"</formula1>
    </dataValidation>
  </dataValidations>
  <pageMargins left="0.7" right="0.7" top="0.75" bottom="0.75" header="0.3" footer="0.3"/>
  <pageSetup orientation="portrait" verticalDpi="599" r:id="rId1"/>
  <drawing r:id="rId2"/>
  <legacyDrawing r:id="rId3"/>
  <controls>
    <mc:AlternateContent xmlns:mc="http://schemas.openxmlformats.org/markup-compatibility/2006">
      <mc:Choice Requires="x14">
        <control shapeId="5121" r:id="rId4" name="UpdateAnalysisBtn">
          <controlPr defaultSize="0" autoFill="0" autoLine="0" r:id="rId5">
            <anchor moveWithCells="1">
              <from>
                <xdr:col>5</xdr:col>
                <xdr:colOff>693420</xdr:colOff>
                <xdr:row>27</xdr:row>
                <xdr:rowOff>160020</xdr:rowOff>
              </from>
              <to>
                <xdr:col>7</xdr:col>
                <xdr:colOff>1203960</xdr:colOff>
                <xdr:row>31</xdr:row>
                <xdr:rowOff>121920</xdr:rowOff>
              </to>
            </anchor>
          </controlPr>
        </control>
      </mc:Choice>
      <mc:Fallback>
        <control shapeId="5121" r:id="rId4" name="UpdateAnalysisBt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6" tint="-0.499984740745262"/>
    <pageSetUpPr fitToPage="1"/>
  </sheetPr>
  <dimension ref="A1:N51"/>
  <sheetViews>
    <sheetView showGridLines="0" topLeftCell="A8" zoomScaleNormal="100" workbookViewId="0">
      <selection activeCell="E3" sqref="E3"/>
    </sheetView>
  </sheetViews>
  <sheetFormatPr defaultColWidth="14.33203125" defaultRowHeight="14.4" x14ac:dyDescent="0.3"/>
  <cols>
    <col min="1" max="1" width="17" bestFit="1" customWidth="1"/>
    <col min="3" max="3" width="16.33203125" customWidth="1"/>
    <col min="5" max="5" width="15.6640625" customWidth="1"/>
    <col min="7" max="7" width="13.33203125" bestFit="1" customWidth="1"/>
    <col min="8" max="8" width="12.77734375" customWidth="1"/>
    <col min="9" max="9" width="12.6640625" customWidth="1"/>
    <col min="10" max="10" width="12.109375" customWidth="1"/>
    <col min="11" max="11" width="3.33203125" customWidth="1"/>
    <col min="12" max="14" width="9.77734375" customWidth="1"/>
  </cols>
  <sheetData>
    <row r="1" spans="1:14" ht="31.8" thickBot="1" x14ac:dyDescent="0.65">
      <c r="A1" s="366" t="s">
        <v>167</v>
      </c>
      <c r="B1" s="367"/>
      <c r="C1" s="367"/>
      <c r="D1" s="367"/>
      <c r="E1" s="367"/>
      <c r="F1" s="367"/>
      <c r="G1" s="367"/>
      <c r="H1" s="367"/>
      <c r="I1" s="367"/>
      <c r="J1" s="368"/>
      <c r="K1" s="121"/>
      <c r="L1" s="121"/>
      <c r="M1" s="121"/>
    </row>
    <row r="3" spans="1:14" ht="25.8" x14ac:dyDescent="0.5">
      <c r="A3" s="327" t="s">
        <v>177</v>
      </c>
    </row>
    <row r="5" spans="1:14" ht="28.8" x14ac:dyDescent="0.3">
      <c r="A5" s="112" t="s">
        <v>32</v>
      </c>
      <c r="B5" s="98" t="s">
        <v>53</v>
      </c>
      <c r="C5" s="292" t="s">
        <v>165</v>
      </c>
      <c r="D5" s="112" t="s">
        <v>51</v>
      </c>
      <c r="E5" s="292" t="s">
        <v>166</v>
      </c>
      <c r="F5" s="291" t="s">
        <v>42</v>
      </c>
      <c r="G5" s="112" t="s">
        <v>37</v>
      </c>
      <c r="H5" s="369" t="s">
        <v>36</v>
      </c>
      <c r="I5" s="370"/>
      <c r="J5" s="371"/>
    </row>
    <row r="6" spans="1:14" ht="13.95" customHeight="1" x14ac:dyDescent="0.3">
      <c r="A6" s="112"/>
      <c r="B6" s="98"/>
      <c r="C6" s="292"/>
      <c r="D6" s="112"/>
      <c r="E6" s="292"/>
      <c r="F6" s="291"/>
      <c r="G6" s="291" t="s">
        <v>52</v>
      </c>
      <c r="H6" s="122" t="s">
        <v>39</v>
      </c>
      <c r="I6" s="123" t="s">
        <v>40</v>
      </c>
      <c r="J6" s="123" t="s">
        <v>41</v>
      </c>
    </row>
    <row r="7" spans="1:14" ht="39" customHeight="1" x14ac:dyDescent="0.3">
      <c r="A7" s="114" t="s">
        <v>33</v>
      </c>
      <c r="B7" s="99">
        <f>+Dashboard!F44</f>
        <v>162012</v>
      </c>
      <c r="C7" s="99">
        <f>+Dashboard!T44</f>
        <v>5990715546.4201012</v>
      </c>
      <c r="D7" s="99">
        <f>+Dashboard!R54</f>
        <v>36924.660000000003</v>
      </c>
      <c r="E7" s="99">
        <f>+Dashboard!M44</f>
        <v>783351685</v>
      </c>
      <c r="F7" s="99"/>
      <c r="G7" s="328">
        <f>(B7/$B$11)*$G$11</f>
        <v>165320424.94200215</v>
      </c>
      <c r="H7" s="131"/>
      <c r="I7" s="120"/>
      <c r="J7" s="120"/>
      <c r="K7" s="19"/>
      <c r="L7" s="19"/>
    </row>
    <row r="8" spans="1:14" ht="39" customHeight="1" x14ac:dyDescent="0.3">
      <c r="A8" s="114" t="s">
        <v>34</v>
      </c>
      <c r="B8" s="99">
        <f>+Dashboard!F73</f>
        <v>44290</v>
      </c>
      <c r="C8" s="99">
        <f>+Dashboard!T73</f>
        <v>1876968920.7900007</v>
      </c>
      <c r="D8" s="99">
        <f>+Dashboard!R83</f>
        <v>42438.9</v>
      </c>
      <c r="E8" s="99">
        <f>+Dashboard!M73</f>
        <v>215625159</v>
      </c>
      <c r="F8" s="99"/>
      <c r="G8" s="328">
        <f>(B8/$B$11)*$G$11</f>
        <v>45194440.045683503</v>
      </c>
      <c r="H8" s="131"/>
      <c r="I8" s="120"/>
      <c r="J8" s="325"/>
      <c r="K8" s="19"/>
      <c r="L8" s="19"/>
    </row>
    <row r="9" spans="1:14" ht="39" customHeight="1" x14ac:dyDescent="0.3">
      <c r="A9" s="114" t="s">
        <v>90</v>
      </c>
      <c r="B9" s="99">
        <f>+Dashboard!F102</f>
        <v>56156</v>
      </c>
      <c r="C9" s="99">
        <f>+Dashboard!T102</f>
        <v>2651751688.0500026</v>
      </c>
      <c r="D9" s="99">
        <f>+Dashboard!R112</f>
        <v>47623.23</v>
      </c>
      <c r="E9" s="99">
        <f>+Dashboard!M102</f>
        <v>273595344</v>
      </c>
      <c r="F9" s="99"/>
      <c r="G9" s="328">
        <f>(B9/$B$11)*$G$11</f>
        <v>57302754.012314349</v>
      </c>
      <c r="H9" s="131"/>
      <c r="I9" s="120"/>
      <c r="J9" s="120"/>
      <c r="K9" s="19"/>
      <c r="L9" s="19"/>
    </row>
    <row r="10" spans="1:14" x14ac:dyDescent="0.3">
      <c r="A10" s="326"/>
      <c r="B10" s="321"/>
      <c r="C10" s="321"/>
      <c r="D10" s="321"/>
      <c r="E10" s="321"/>
      <c r="F10" s="321"/>
      <c r="G10" s="301">
        <f>SUM(G7:G9)</f>
        <v>267817619</v>
      </c>
      <c r="H10" s="321"/>
      <c r="I10" s="321"/>
      <c r="J10" s="321"/>
      <c r="L10" s="19"/>
    </row>
    <row r="11" spans="1:14" ht="15" customHeight="1" x14ac:dyDescent="0.3">
      <c r="A11" s="116" t="s">
        <v>38</v>
      </c>
      <c r="B11" s="117">
        <f>SUM(B7:B10)</f>
        <v>262458</v>
      </c>
      <c r="C11" s="308">
        <f>SUM(C7:C10)</f>
        <v>10519436155.260105</v>
      </c>
      <c r="D11" s="118"/>
      <c r="E11" s="308">
        <f>SUM(E7:E10)</f>
        <v>1272572188</v>
      </c>
      <c r="F11" s="309"/>
      <c r="G11" s="308">
        <v>267817619</v>
      </c>
      <c r="H11" s="309"/>
      <c r="I11" s="118"/>
      <c r="J11" s="118"/>
      <c r="K11" s="19"/>
    </row>
    <row r="12" spans="1:14" s="20" customFormat="1" ht="15" customHeight="1" x14ac:dyDescent="0.3">
      <c r="A12" s="115"/>
      <c r="B12" s="293"/>
      <c r="C12" s="294"/>
      <c r="D12" s="241"/>
      <c r="E12" s="294"/>
      <c r="F12" s="295"/>
      <c r="G12" s="294"/>
      <c r="H12" s="295"/>
      <c r="I12" s="241"/>
      <c r="J12" s="241"/>
      <c r="K12" s="296"/>
    </row>
    <row r="13" spans="1:14" s="20" customFormat="1" ht="25.8" x14ac:dyDescent="0.5">
      <c r="A13" s="327" t="s">
        <v>182</v>
      </c>
      <c r="B13" s="297"/>
      <c r="C13" s="297"/>
      <c r="D13" s="297"/>
      <c r="E13" s="297"/>
      <c r="F13" s="297"/>
      <c r="G13" s="297"/>
      <c r="H13" s="297"/>
      <c r="I13" s="297"/>
      <c r="J13" s="297"/>
      <c r="K13" s="296"/>
    </row>
    <row r="14" spans="1:14" ht="15" customHeight="1" x14ac:dyDescent="0.3">
      <c r="A14" s="115"/>
      <c r="B14" s="22"/>
      <c r="C14" s="111"/>
      <c r="E14" s="119"/>
      <c r="F14" s="111"/>
      <c r="G14" s="228">
        <f>+Dashboard!X16</f>
        <v>208667435.75999892</v>
      </c>
      <c r="H14" s="111"/>
    </row>
    <row r="15" spans="1:14" ht="28.8" x14ac:dyDescent="0.3">
      <c r="A15" s="112" t="s">
        <v>32</v>
      </c>
      <c r="B15" s="98" t="s">
        <v>53</v>
      </c>
      <c r="C15" s="290" t="s">
        <v>165</v>
      </c>
      <c r="D15" s="112" t="s">
        <v>51</v>
      </c>
      <c r="E15" s="290" t="s">
        <v>166</v>
      </c>
      <c r="F15" s="289" t="s">
        <v>42</v>
      </c>
      <c r="G15" s="112" t="s">
        <v>37</v>
      </c>
      <c r="H15" s="369" t="s">
        <v>36</v>
      </c>
      <c r="I15" s="370"/>
      <c r="J15" s="371"/>
      <c r="L15" s="372" t="s">
        <v>183</v>
      </c>
      <c r="M15" s="373"/>
      <c r="N15" s="374"/>
    </row>
    <row r="16" spans="1:14" ht="15" customHeight="1" x14ac:dyDescent="0.3">
      <c r="A16" s="112"/>
      <c r="B16" s="98"/>
      <c r="C16" s="290"/>
      <c r="D16" s="112"/>
      <c r="E16" s="290"/>
      <c r="F16" s="289"/>
      <c r="G16" s="289" t="s">
        <v>52</v>
      </c>
      <c r="H16" s="122" t="s">
        <v>39</v>
      </c>
      <c r="I16" s="123" t="s">
        <v>40</v>
      </c>
      <c r="J16" s="123" t="s">
        <v>41</v>
      </c>
      <c r="L16" s="123" t="s">
        <v>41</v>
      </c>
      <c r="M16" s="123" t="s">
        <v>184</v>
      </c>
      <c r="N16" s="123" t="s">
        <v>185</v>
      </c>
    </row>
    <row r="17" spans="1:14" ht="15" customHeight="1" x14ac:dyDescent="0.3">
      <c r="A17" s="298" t="s">
        <v>33</v>
      </c>
      <c r="B17" s="311"/>
      <c r="C17" s="302"/>
      <c r="D17" s="312"/>
      <c r="E17" s="303"/>
      <c r="F17" s="302"/>
      <c r="G17" s="304"/>
      <c r="H17" s="302"/>
      <c r="I17" s="312"/>
      <c r="J17" s="313"/>
      <c r="L17" s="330"/>
      <c r="M17" s="331"/>
      <c r="N17" s="332"/>
    </row>
    <row r="18" spans="1:14" ht="15" customHeight="1" x14ac:dyDescent="0.3">
      <c r="A18" s="299" t="s">
        <v>177</v>
      </c>
      <c r="B18" s="314">
        <f>+Dashboard!F44</f>
        <v>162012</v>
      </c>
      <c r="C18" s="305"/>
      <c r="D18" s="314"/>
      <c r="E18" s="315">
        <f>+Dashboard!M44</f>
        <v>783351685</v>
      </c>
      <c r="F18" s="305"/>
      <c r="G18" s="316">
        <f>(B18/$B$11)*$G$11</f>
        <v>165320424.94200215</v>
      </c>
      <c r="H18" s="306"/>
      <c r="I18" s="317"/>
      <c r="J18" s="318"/>
      <c r="L18" s="333"/>
      <c r="M18" s="317"/>
      <c r="N18" s="318"/>
    </row>
    <row r="19" spans="1:14" ht="15" customHeight="1" x14ac:dyDescent="0.3">
      <c r="A19" s="299" t="s">
        <v>178</v>
      </c>
      <c r="B19" s="314">
        <f>SUM(Dashboard!G32:G34)</f>
        <v>36726</v>
      </c>
      <c r="C19" s="305"/>
      <c r="D19" s="314"/>
      <c r="E19" s="315">
        <f>SUM(Dashboard!N32:N34)</f>
        <v>194632771</v>
      </c>
      <c r="F19" s="305"/>
      <c r="G19" s="307">
        <f>(SUM(Dashboard!G32:G34)/SUM(Dashboard!G4:G6)*SUM(Dashboard!AB4:AB6))</f>
        <v>69244959.993548706</v>
      </c>
      <c r="H19" s="306"/>
      <c r="I19" s="317"/>
      <c r="J19" s="318"/>
      <c r="K19" s="18"/>
      <c r="L19" s="334"/>
      <c r="M19" s="335"/>
      <c r="N19" s="336"/>
    </row>
    <row r="20" spans="1:14" ht="15" customHeight="1" x14ac:dyDescent="0.3">
      <c r="A20" s="116" t="s">
        <v>179</v>
      </c>
      <c r="B20" s="117">
        <f>+B18-B19</f>
        <v>125286</v>
      </c>
      <c r="C20" s="308">
        <f>+D20*B20</f>
        <v>4626142952.7600002</v>
      </c>
      <c r="D20" s="300">
        <f>+Dashboard!R54</f>
        <v>36924.660000000003</v>
      </c>
      <c r="E20" s="308">
        <f>+E18-E19</f>
        <v>588718914</v>
      </c>
      <c r="F20" s="309">
        <f>+Dashboard!N26</f>
        <v>4699</v>
      </c>
      <c r="G20" s="308">
        <f>+G18-G19</f>
        <v>96075464.948453441</v>
      </c>
      <c r="H20" s="310">
        <f>+G20/(C20+E20)</f>
        <v>1.8423395940906338E-2</v>
      </c>
      <c r="I20" s="300">
        <f>((D20+F20)*H20)</f>
        <v>766.84916868966559</v>
      </c>
      <c r="J20" s="300">
        <f>+D20+F20+I20</f>
        <v>42390.50916868967</v>
      </c>
      <c r="K20" s="18"/>
      <c r="L20" s="300">
        <v>43646</v>
      </c>
      <c r="M20" s="300">
        <f>+J20-L20</f>
        <v>-1255.4908313103297</v>
      </c>
      <c r="N20" s="337">
        <f>+M20/L20</f>
        <v>-2.8765312544341514E-2</v>
      </c>
    </row>
    <row r="21" spans="1:14" ht="15" customHeight="1" x14ac:dyDescent="0.3">
      <c r="A21" s="298" t="s">
        <v>34</v>
      </c>
      <c r="B21" s="311"/>
      <c r="C21" s="302"/>
      <c r="D21" s="312"/>
      <c r="E21" s="303"/>
      <c r="F21" s="302"/>
      <c r="G21" s="304"/>
      <c r="H21" s="302"/>
      <c r="I21" s="312"/>
      <c r="J21" s="313"/>
      <c r="L21" s="334"/>
      <c r="M21" s="335"/>
      <c r="N21" s="336"/>
    </row>
    <row r="22" spans="1:14" ht="15" customHeight="1" x14ac:dyDescent="0.3">
      <c r="A22" s="299" t="s">
        <v>177</v>
      </c>
      <c r="B22" s="314">
        <f>+Dashboard!F73</f>
        <v>44290</v>
      </c>
      <c r="C22" s="305"/>
      <c r="D22" s="314"/>
      <c r="E22" s="315">
        <f>+Dashboard!M73</f>
        <v>215625159</v>
      </c>
      <c r="F22" s="305"/>
      <c r="G22" s="316">
        <f>(B22/$B$11)*$G$11</f>
        <v>45194440.045683503</v>
      </c>
      <c r="H22" s="306"/>
      <c r="I22" s="317"/>
      <c r="J22" s="318"/>
      <c r="L22" s="334"/>
      <c r="M22" s="335"/>
      <c r="N22" s="336"/>
    </row>
    <row r="23" spans="1:14" ht="15" customHeight="1" x14ac:dyDescent="0.3">
      <c r="A23" s="299" t="s">
        <v>178</v>
      </c>
      <c r="B23" s="314">
        <f>SUM(Dashboard!G61:G63)</f>
        <v>12497</v>
      </c>
      <c r="C23" s="305"/>
      <c r="D23" s="314"/>
      <c r="E23" s="315">
        <f>SUM(Dashboard!N61:N63)</f>
        <v>66229852</v>
      </c>
      <c r="F23" s="305"/>
      <c r="G23" s="307">
        <f>(SUM(Dashboard!G61:G63)/SUM(Dashboard!G4:G6)*SUM(Dashboard!AB4:AB6))</f>
        <v>23562442.548586238</v>
      </c>
      <c r="H23" s="306"/>
      <c r="I23" s="317"/>
      <c r="J23" s="318"/>
      <c r="L23" s="334"/>
      <c r="M23" s="335"/>
      <c r="N23" s="336"/>
    </row>
    <row r="24" spans="1:14" ht="15" customHeight="1" x14ac:dyDescent="0.3">
      <c r="A24" s="116" t="s">
        <v>179</v>
      </c>
      <c r="B24" s="117">
        <f>+B22-B23</f>
        <v>31793</v>
      </c>
      <c r="C24" s="308">
        <f>+D24*B24</f>
        <v>1349259947.7</v>
      </c>
      <c r="D24" s="300">
        <f>+Dashboard!R83</f>
        <v>42438.9</v>
      </c>
      <c r="E24" s="308">
        <f>+E22-E23</f>
        <v>149395307</v>
      </c>
      <c r="F24" s="309">
        <f>+Dashboard!N26</f>
        <v>4699</v>
      </c>
      <c r="G24" s="308">
        <f>+G22-G23</f>
        <v>21631997.497097265</v>
      </c>
      <c r="H24" s="310">
        <f>+G24/(C24+E24)</f>
        <v>1.4434271944302191E-2</v>
      </c>
      <c r="I24" s="300">
        <f>((D24+F24)*H24)</f>
        <v>680.40126748332227</v>
      </c>
      <c r="J24" s="300">
        <f>+D24+F24+I24</f>
        <v>47818.301267483323</v>
      </c>
      <c r="L24" s="300">
        <v>49180</v>
      </c>
      <c r="M24" s="300">
        <f>+J24-L24</f>
        <v>-1361.6987325166774</v>
      </c>
      <c r="N24" s="337">
        <f>+M24/L24</f>
        <v>-2.7688058814897873E-2</v>
      </c>
    </row>
    <row r="25" spans="1:14" ht="15" customHeight="1" x14ac:dyDescent="0.3">
      <c r="A25" s="298" t="s">
        <v>90</v>
      </c>
      <c r="B25" s="311"/>
      <c r="C25" s="302"/>
      <c r="D25" s="312"/>
      <c r="E25" s="303"/>
      <c r="F25" s="302"/>
      <c r="G25" s="304"/>
      <c r="H25" s="302"/>
      <c r="I25" s="312"/>
      <c r="J25" s="313"/>
      <c r="L25" s="334"/>
      <c r="M25" s="335"/>
      <c r="N25" s="336"/>
    </row>
    <row r="26" spans="1:14" ht="15" customHeight="1" x14ac:dyDescent="0.3">
      <c r="A26" s="299" t="s">
        <v>177</v>
      </c>
      <c r="B26" s="314">
        <f>+Dashboard!F102</f>
        <v>56156</v>
      </c>
      <c r="C26" s="305"/>
      <c r="D26" s="314"/>
      <c r="E26" s="315">
        <f>+Dashboard!M102</f>
        <v>273595344</v>
      </c>
      <c r="F26" s="305"/>
      <c r="G26" s="316">
        <f>(B26/$B$11)*$G$11</f>
        <v>57302754.012314349</v>
      </c>
      <c r="H26" s="306"/>
      <c r="I26" s="317"/>
      <c r="J26" s="318"/>
      <c r="L26" s="334"/>
      <c r="M26" s="335"/>
      <c r="N26" s="336"/>
    </row>
    <row r="27" spans="1:14" ht="15" customHeight="1" x14ac:dyDescent="0.3">
      <c r="A27" s="299" t="s">
        <v>178</v>
      </c>
      <c r="B27" s="314">
        <f>SUM(Dashboard!G90:G92)</f>
        <v>16184</v>
      </c>
      <c r="C27" s="305"/>
      <c r="D27" s="314"/>
      <c r="E27" s="315">
        <f>SUM(Dashboard!N90:N92)</f>
        <v>85766916</v>
      </c>
      <c r="F27" s="305"/>
      <c r="G27" s="307">
        <f>(SUM(Dashboard!G90:G92)/SUM(Dashboard!G4:G6)*SUM(Dashboard!AB4:AB6))</f>
        <v>30514088.997865062</v>
      </c>
      <c r="H27" s="306"/>
      <c r="I27" s="317"/>
      <c r="J27" s="318"/>
      <c r="L27" s="334"/>
      <c r="M27" s="335"/>
      <c r="N27" s="336"/>
    </row>
    <row r="28" spans="1:14" ht="15" customHeight="1" x14ac:dyDescent="0.3">
      <c r="A28" s="116" t="s">
        <v>179</v>
      </c>
      <c r="B28" s="117">
        <f>+B26-B27</f>
        <v>39972</v>
      </c>
      <c r="C28" s="308">
        <f>+D28*B28</f>
        <v>1903595749.5600002</v>
      </c>
      <c r="D28" s="300">
        <f>+Dashboard!R112</f>
        <v>47623.23</v>
      </c>
      <c r="E28" s="308">
        <f>+E26-E27</f>
        <v>187828428</v>
      </c>
      <c r="F28" s="309">
        <f>+Dashboard!N26</f>
        <v>4699</v>
      </c>
      <c r="G28" s="308">
        <f>+G26-G27</f>
        <v>26788665.014449287</v>
      </c>
      <c r="H28" s="310">
        <f>+G28/(C28+E28)</f>
        <v>1.2808814826699953E-2</v>
      </c>
      <c r="I28" s="300">
        <f>((D28+F28)*H28)</f>
        <v>670.18575539000517</v>
      </c>
      <c r="J28" s="300">
        <f>+D28+F28+I28</f>
        <v>52992.415755390008</v>
      </c>
      <c r="L28" s="300">
        <v>53765</v>
      </c>
      <c r="M28" s="300">
        <f>+J28-L28</f>
        <v>-772.58424460999231</v>
      </c>
      <c r="N28" s="337">
        <f>+M28/L28</f>
        <v>-1.436965022988919E-2</v>
      </c>
    </row>
    <row r="29" spans="1:14" ht="15" customHeight="1" x14ac:dyDescent="0.3">
      <c r="A29" s="115"/>
      <c r="B29" s="319"/>
      <c r="C29" s="320"/>
      <c r="D29" s="321"/>
      <c r="E29" s="322"/>
      <c r="F29" s="320"/>
      <c r="G29" s="323"/>
      <c r="H29" s="320"/>
      <c r="I29" s="321"/>
      <c r="J29" s="321"/>
    </row>
    <row r="30" spans="1:14" ht="15" customHeight="1" x14ac:dyDescent="0.3">
      <c r="A30" s="116" t="s">
        <v>178</v>
      </c>
      <c r="B30" s="308">
        <f>+B19+B23+B27</f>
        <v>65407</v>
      </c>
      <c r="C30" s="319"/>
      <c r="D30" s="329"/>
      <c r="E30" s="308">
        <f>+E19+E23+E27</f>
        <v>346629539</v>
      </c>
      <c r="F30" s="320"/>
      <c r="G30" s="308">
        <f>+G19+G23+G27</f>
        <v>123321491.54000001</v>
      </c>
      <c r="H30" s="320"/>
      <c r="I30" s="321"/>
      <c r="J30" s="321"/>
    </row>
    <row r="31" spans="1:14" ht="15" customHeight="1" x14ac:dyDescent="0.3">
      <c r="A31" s="116" t="s">
        <v>179</v>
      </c>
      <c r="B31" s="308">
        <f>+B20+B24+B28</f>
        <v>197051</v>
      </c>
      <c r="C31" s="324"/>
      <c r="D31" s="321"/>
      <c r="E31" s="308">
        <f>+E20+E24+E28</f>
        <v>925942649</v>
      </c>
      <c r="F31" s="320"/>
      <c r="G31" s="308">
        <f>+G20+G24+G28</f>
        <v>144496127.46000001</v>
      </c>
      <c r="H31" s="320"/>
      <c r="I31" s="321"/>
      <c r="J31" s="321"/>
    </row>
    <row r="32" spans="1:14" ht="15" customHeight="1" x14ac:dyDescent="0.3">
      <c r="A32" s="116" t="s">
        <v>180</v>
      </c>
      <c r="B32" s="308">
        <f>SUM(B30:B31)</f>
        <v>262458</v>
      </c>
      <c r="C32" s="320"/>
      <c r="D32" s="321"/>
      <c r="E32" s="308">
        <f>SUM(E30:E31)</f>
        <v>1272572188</v>
      </c>
      <c r="F32" s="320"/>
      <c r="G32" s="308">
        <f>SUM(G30:G31)</f>
        <v>267817619</v>
      </c>
      <c r="H32" s="320"/>
      <c r="I32" s="321"/>
      <c r="J32" s="321"/>
    </row>
    <row r="33" spans="1:10" ht="15" customHeight="1" x14ac:dyDescent="0.3">
      <c r="A33" s="115"/>
      <c r="B33" s="22"/>
      <c r="C33" s="111"/>
      <c r="E33" s="119"/>
      <c r="F33" s="111"/>
      <c r="G33" s="229"/>
      <c r="H33" s="111"/>
    </row>
    <row r="34" spans="1:10" ht="15" customHeight="1" x14ac:dyDescent="0.3">
      <c r="C34" s="111"/>
      <c r="E34" s="111"/>
      <c r="F34" s="111"/>
      <c r="G34" s="111"/>
      <c r="H34" s="111"/>
    </row>
    <row r="35" spans="1:10" ht="15" customHeight="1" x14ac:dyDescent="0.3">
      <c r="C35" s="111"/>
      <c r="E35" s="111"/>
      <c r="F35" s="111"/>
      <c r="G35" s="111"/>
    </row>
    <row r="36" spans="1:10" ht="15" customHeight="1" x14ac:dyDescent="0.3">
      <c r="A36" s="100"/>
      <c r="B36" s="100"/>
      <c r="C36" s="110"/>
      <c r="D36" s="101"/>
      <c r="E36" s="110"/>
      <c r="F36" s="100"/>
      <c r="G36" s="110"/>
      <c r="I36" s="8"/>
      <c r="J36" s="8"/>
    </row>
    <row r="37" spans="1:10" ht="15" customHeight="1" x14ac:dyDescent="0.3">
      <c r="A37" s="102" t="s">
        <v>35</v>
      </c>
      <c r="B37" s="102"/>
      <c r="C37" s="110"/>
      <c r="D37" s="102" t="s">
        <v>28</v>
      </c>
      <c r="E37" s="110"/>
      <c r="F37" s="100"/>
      <c r="G37" s="110"/>
      <c r="H37" s="103" t="s">
        <v>30</v>
      </c>
      <c r="J37" s="104" t="s">
        <v>28</v>
      </c>
    </row>
    <row r="38" spans="1:10" x14ac:dyDescent="0.3">
      <c r="A38" s="100"/>
      <c r="B38" s="100"/>
      <c r="D38" s="100"/>
    </row>
    <row r="39" spans="1:10" x14ac:dyDescent="0.3">
      <c r="A39" s="100"/>
      <c r="B39" s="100"/>
      <c r="D39" s="100"/>
      <c r="F39" s="105"/>
    </row>
    <row r="40" spans="1:10" x14ac:dyDescent="0.3">
      <c r="A40" s="100"/>
      <c r="B40" s="100"/>
      <c r="D40" s="100"/>
      <c r="F40" s="18"/>
    </row>
    <row r="41" spans="1:10" x14ac:dyDescent="0.3">
      <c r="A41" s="100"/>
      <c r="B41" s="100"/>
      <c r="D41" s="101"/>
      <c r="F41" s="106"/>
      <c r="I41" s="8"/>
      <c r="J41" s="8"/>
    </row>
    <row r="42" spans="1:10" x14ac:dyDescent="0.3">
      <c r="A42" s="102" t="s">
        <v>29</v>
      </c>
      <c r="B42" s="102"/>
      <c r="D42" s="102" t="s">
        <v>28</v>
      </c>
      <c r="F42" s="107"/>
      <c r="H42" s="102" t="s">
        <v>31</v>
      </c>
      <c r="J42" s="108" t="s">
        <v>28</v>
      </c>
    </row>
    <row r="46" spans="1:10" ht="15" customHeight="1" x14ac:dyDescent="0.3">
      <c r="A46" s="288" t="s">
        <v>168</v>
      </c>
    </row>
    <row r="47" spans="1:10" ht="15" customHeight="1" x14ac:dyDescent="0.3">
      <c r="A47" t="s">
        <v>53</v>
      </c>
      <c r="B47" t="s">
        <v>174</v>
      </c>
    </row>
    <row r="48" spans="1:10" ht="15" customHeight="1" x14ac:dyDescent="0.3">
      <c r="A48" t="s">
        <v>172</v>
      </c>
      <c r="B48" t="s">
        <v>171</v>
      </c>
    </row>
    <row r="49" spans="1:2" ht="15" customHeight="1" x14ac:dyDescent="0.3">
      <c r="A49" t="s">
        <v>169</v>
      </c>
      <c r="B49" t="s">
        <v>170</v>
      </c>
    </row>
    <row r="50" spans="1:2" ht="15" customHeight="1" x14ac:dyDescent="0.3">
      <c r="A50" t="s">
        <v>175</v>
      </c>
      <c r="B50" t="s">
        <v>176</v>
      </c>
    </row>
    <row r="51" spans="1:2" x14ac:dyDescent="0.3">
      <c r="A51" t="s">
        <v>37</v>
      </c>
      <c r="B51" t="s">
        <v>181</v>
      </c>
    </row>
  </sheetData>
  <mergeCells count="4">
    <mergeCell ref="A1:J1"/>
    <mergeCell ref="H5:J5"/>
    <mergeCell ref="H15:J15"/>
    <mergeCell ref="L15:N15"/>
  </mergeCells>
  <pageMargins left="0.7" right="0.7" top="0.75" bottom="0.75" header="0.3" footer="0.3"/>
  <pageSetup scale="66" orientation="landscape" verticalDpi="599"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Instructions</vt:lpstr>
      <vt:lpstr>Dashboard</vt:lpstr>
      <vt:lpstr>Profit Analysis</vt:lpstr>
      <vt:lpstr>Signature</vt:lpstr>
      <vt:lpstr>Dashboard!Print_Area</vt:lpstr>
      <vt:lpstr>Signature!Print_Area</vt:lpstr>
    </vt:vector>
  </TitlesOfParts>
  <Company>Daimler AG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Toenjes, Stephan (175)</dc:creator>
  <cp:lastModifiedBy>Scott, Jeanie (138-Extern)</cp:lastModifiedBy>
  <cp:lastPrinted>2021-04-27T21:21:17Z</cp:lastPrinted>
  <dcterms:created xsi:type="dcterms:W3CDTF">2019-11-19T06:51:01Z</dcterms:created>
  <dcterms:modified xsi:type="dcterms:W3CDTF">2021-08-03T22:42:13Z</dcterms:modified>
</cp:coreProperties>
</file>